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Issues Log" sheetId="2" state="visible" r:id="rId4"/>
    <sheet name="Daily Progress" sheetId="3" state="visible" r:id="rId5"/>
    <sheet name="Readiness Summary" sheetId="4" state="visible" r:id="rId6"/>
  </sheets>
  <definedNames>
    <definedName function="false" hidden="true" localSheetId="2" name="_xlnm._FilterDatabase" vbProcedure="false">'Daily Progress'!$A$1:$G$10</definedName>
    <definedName function="false" hidden="true" localSheetId="1" name="_xlnm._FilterDatabase" vbProcedure="false">'Issues Log'!$A$1:$L$94</definedName>
    <definedName function="false" hidden="true" localSheetId="0" name="_xlnm._FilterDatabase" vbProcedure="false">RTM!$A$1:$R$51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<sst xmlns="http://schemas.openxmlformats.org/spreadsheetml/2006/main" count="2048" uniqueCount="971">
  <si>
    <t xml:space="preserve">Req ID</t>
  </si>
  <si>
    <t xml:space="preserve">Module</t>
  </si>
  <si>
    <t xml:space="preserve">Requirement (Business/Functional)</t>
  </si>
  <si>
    <t xml:space="preserve">Source Document(s) &amp; Section</t>
  </si>
  <si>
    <t xml:space="preserve">Referenced FRS ID(s)</t>
  </si>
  <si>
    <t xml:space="preserve">FRS ID Resolvable?</t>
  </si>
  <si>
    <t xml:space="preserve">Use Case Coverage (D2)</t>
  </si>
  <si>
    <t xml:space="preserve">Acceptance Criteria Status</t>
  </si>
  <si>
    <t xml:space="preserve">Design Artifact</t>
  </si>
  <si>
    <t xml:space="preserve">Test Cases</t>
  </si>
  <si>
    <t xml:space="preserve">Readiness Status</t>
  </si>
  <si>
    <t xml:space="preserve">Gaps / Related Issue IDs</t>
  </si>
  <si>
    <t xml:space="preserve">Priority</t>
  </si>
  <si>
    <t xml:space="preserve">Owner</t>
  </si>
  <si>
    <t xml:space="preserve">Progress 2026-07-04</t>
  </si>
  <si>
    <t xml:space="preserve">Progress 2026-07-06</t>
  </si>
  <si>
    <t xml:space="preserve">Progress 2026-07-09 (This Review)</t>
  </si>
  <si>
    <t xml:space="preserve">Next Daily Update</t>
  </si>
  <si>
    <t xml:space="preserve">BR-AST-01</t>
  </si>
  <si>
    <t xml:space="preserve">Asset Management</t>
  </si>
  <si>
    <t xml:space="preserve">Register assets with unique identifier</t>
  </si>
  <si>
    <t xml:space="preserve">D1 §5.1; D3 §9.1; D5 §7.1; D6 §1</t>
  </si>
  <si>
    <t xml:space="preserve">FR-AST-01</t>
  </si>
  <si>
    <t xml:space="preserve">Yes — resolvable in FRS 2.0 (Appendix B reconciled)</t>
  </si>
  <si>
    <t xml:space="preserve">UC-AST-01</t>
  </si>
  <si>
    <t xml:space="preserve">GWT delivered for R1 Must-Haves (IAMS-AC-1.0); R2 stubs gated pre-sprint</t>
  </si>
  <si>
    <t xml:space="preserve">BRD 2.0 / FRS 2.0 / SRS 2.0 / DD 1.1 / API 1.1 / AC 1.0</t>
  </si>
  <si>
    <t xml:space="preserve">None</t>
  </si>
  <si>
    <t xml:space="preserve">Ready</t>
  </si>
  <si>
    <t xml:space="preserve">BFR-03 (ID scheme undefined)</t>
  </si>
  <si>
    <t xml:space="preserve">Critical</t>
  </si>
  <si>
    <t xml:space="preserve">TBD</t>
  </si>
  <si>
    <t xml:space="preserve">Listed in feature inventory / BRD v1.0</t>
  </si>
  <si>
    <t xml:space="preserve">Illustrated by use case</t>
  </si>
  <si>
    <t xml:space="preserve">Reviewed — gaps logged in Issues Log</t>
  </si>
  <si>
    <t xml:space="preserve">2026-07-10: consolidated baseline v2.0 published; requirement dev-ready pending stakeholder ratification</t>
  </si>
  <si>
    <t xml:space="preserve">BR-AST-02</t>
  </si>
  <si>
    <t xml:space="preserve">Generate/print barcode and QR labels</t>
  </si>
  <si>
    <t xml:space="preserve">D1 §5.1; D3 §9.1; D5 §7.1</t>
  </si>
  <si>
    <t xml:space="preserve">FR-AST-02</t>
  </si>
  <si>
    <t xml:space="preserve">INT-06 (printer/symbology unspecified)</t>
  </si>
  <si>
    <t xml:space="preserve">High</t>
  </si>
  <si>
    <t xml:space="preserve">BR-AST-03</t>
  </si>
  <si>
    <t xml:space="preserve">RFID-ready asset design</t>
  </si>
  <si>
    <t xml:space="preserve">D1 §5.1; D5 §7.1; D6 §1</t>
  </si>
  <si>
    <t xml:space="preserve">—</t>
  </si>
  <si>
    <t xml:space="preserve">BFR-11 (undefined)</t>
  </si>
  <si>
    <t xml:space="preserve">Low</t>
  </si>
  <si>
    <t xml:space="preserve">No change</t>
  </si>
  <si>
    <t xml:space="preserve">BR-AST-04</t>
  </si>
  <si>
    <t xml:space="preserve">Categories, groups, parent/child relationships</t>
  </si>
  <si>
    <t xml:space="preserve">D3 §9.1; D5 §7.1</t>
  </si>
  <si>
    <t xml:space="preserve">DM-02 (depth/cardinality)</t>
  </si>
  <si>
    <t xml:space="preserve">Not yet documented</t>
  </si>
  <si>
    <t xml:space="preserve">BR-AST-05</t>
  </si>
  <si>
    <t xml:space="preserve">Images and multiple attachments per asset</t>
  </si>
  <si>
    <t xml:space="preserve">D4 §7.1; D5 §7.1</t>
  </si>
  <si>
    <t xml:space="preserve">FR-AST-05</t>
  </si>
  <si>
    <t xml:space="preserve">UX-02 (file types/size limits); DM-07 (storage)</t>
  </si>
  <si>
    <t xml:space="preserve">BR-AST-06</t>
  </si>
  <si>
    <t xml:space="preserve">Custom fields per category</t>
  </si>
  <si>
    <t xml:space="preserve">FR-AST-06</t>
  </si>
  <si>
    <t xml:space="preserve">DM-09 (architecture undefined)</t>
  </si>
  <si>
    <t xml:space="preserve">BR-AST-07</t>
  </si>
  <si>
    <t xml:space="preserve">Track location, custodian, status, condition, warranty</t>
  </si>
  <si>
    <t xml:space="preserve">BFR-04 (assignment semantics)</t>
  </si>
  <si>
    <t xml:space="preserve">BR-AST-08</t>
  </si>
  <si>
    <t xml:space="preserve">Preserve historical ownership/location for audit traceability</t>
  </si>
  <si>
    <t xml:space="preserve">D3 §9.1; D4 §7.1</t>
  </si>
  <si>
    <t xml:space="preserve">DM-03, DM-06 (append-only model undefined)</t>
  </si>
  <si>
    <t xml:space="preserve">BR-INV-01</t>
  </si>
  <si>
    <t xml:space="preserve">Inventory Management</t>
  </si>
  <si>
    <t xml:space="preserve">Track stock quantities, consumables, spare parts</t>
  </si>
  <si>
    <t xml:space="preserve">D1 §5.2; D3 §9.2; D5 §7.2</t>
  </si>
  <si>
    <t xml:space="preserve">BFR-06 (UoM, lot/expiry, costing undefined)</t>
  </si>
  <si>
    <t xml:space="preserve">BR-INV-02</t>
  </si>
  <si>
    <t xml:space="preserve">Stock in/out transactions with traceability</t>
  </si>
  <si>
    <t xml:space="preserve">D3 §9.2; D5 §7.2</t>
  </si>
  <si>
    <t xml:space="preserve">DM-06 (correction/reversal model)</t>
  </si>
  <si>
    <t xml:space="preserve">BR-INV-03</t>
  </si>
  <si>
    <t xml:space="preserve">Warehouse, shelf, bin management; inter-warehouse transfer</t>
  </si>
  <si>
    <t xml:space="preserve">FR-INV-03, FR-INV-08</t>
  </si>
  <si>
    <t xml:space="preserve">UC-INV-01</t>
  </si>
  <si>
    <t xml:space="preserve">APP-01 (transaction boundaries elsewhere)</t>
  </si>
  <si>
    <t xml:space="preserve">BR-INV-04</t>
  </si>
  <si>
    <t xml:space="preserve">Reorder levels and low-stock alerts</t>
  </si>
  <si>
    <t xml:space="preserve">NTF-01, NTF-03 (triggers/recipients)</t>
  </si>
  <si>
    <t xml:space="preserve">BR-INV-05</t>
  </si>
  <si>
    <t xml:space="preserve">Vendor management and purchase history</t>
  </si>
  <si>
    <t xml:space="preserve">DM-01 (vendor entity undefined)</t>
  </si>
  <si>
    <t xml:space="preserve">Medium</t>
  </si>
  <si>
    <t xml:space="preserve">BR-INV-06</t>
  </si>
  <si>
    <t xml:space="preserve">Physical count reconciliation and variance recording</t>
  </si>
  <si>
    <t xml:space="preserve">D3 §9.2; D4 §7.2</t>
  </si>
  <si>
    <t xml:space="preserve">BFR-09 (variance thresholds/approvals)</t>
  </si>
  <si>
    <t xml:space="preserve">BR-ORG-01</t>
  </si>
  <si>
    <t xml:space="preserve">Organization Management</t>
  </si>
  <si>
    <t xml:space="preserve">Hierarchy: campus/building/floor/room/dept/cost center (+ ministry, classroom/lab)</t>
  </si>
  <si>
    <t xml:space="preserve">D1 §5.3; D5 §7.3</t>
  </si>
  <si>
    <t xml:space="preserve">FR-ORG-01/02/05</t>
  </si>
  <si>
    <t xml:space="preserve">UC-ORG-01</t>
  </si>
  <si>
    <t xml:space="preserve">UX-07 (configurability of labels/depth)</t>
  </si>
  <si>
    <t xml:space="preserve">BR-ORG-02</t>
  </si>
  <si>
    <t xml:space="preserve">Associate assets/stock with org units; hierarchical reporting</t>
  </si>
  <si>
    <t xml:space="preserve">D3 §9.3; D5 §7.3</t>
  </si>
  <si>
    <t xml:space="preserve">SEC-01 (scope inheritance rules)</t>
  </si>
  <si>
    <t xml:space="preserve">BR-LIF-01</t>
  </si>
  <si>
    <t xml:space="preserve">Asset Lifecycle</t>
  </si>
  <si>
    <t xml:space="preserve">Purchase request and purchase order workflows</t>
  </si>
  <si>
    <t xml:space="preserve">D3 §9.4; D5 §7.4</t>
  </si>
  <si>
    <t xml:space="preserve">BFR-05 (partial receiving, amendments); BFR-12 (configurability)</t>
  </si>
  <si>
    <t xml:space="preserve">BR-LIF-02</t>
  </si>
  <si>
    <t xml:space="preserve">Receiving and assignment workflows</t>
  </si>
  <si>
    <t xml:space="preserve">D5 §7.4</t>
  </si>
  <si>
    <t xml:space="preserve">BFR-04, BFR-05</t>
  </si>
  <si>
    <t xml:space="preserve">BR-LIF-03</t>
  </si>
  <si>
    <t xml:space="preserve">Transfer with approval trail</t>
  </si>
  <si>
    <t xml:space="preserve">D3 §10; D5 §7.4</t>
  </si>
  <si>
    <t xml:space="preserve">FR-LIF-05</t>
  </si>
  <si>
    <t xml:space="preserve">UC-LIF-01</t>
  </si>
  <si>
    <t xml:space="preserve">UX-08 (deep-link auth); APP-02 (concurrency with audits)</t>
  </si>
  <si>
    <t xml:space="preserve">BR-LIF-04</t>
  </si>
  <si>
    <t xml:space="preserve">Repair and maintenance scheduling; excluded from assignment while in repair</t>
  </si>
  <si>
    <t xml:space="preserve">D5 §7.4, §8</t>
  </si>
  <si>
    <t xml:space="preserve">NTF-01 (maintenance-due trigger undefined)</t>
  </si>
  <si>
    <t xml:space="preserve">BR-LIF-05</t>
  </si>
  <si>
    <t xml:space="preserve">Retirement/disposal/donation with reason, approver, date</t>
  </si>
  <si>
    <t xml:space="preserve">FR-LIF-09</t>
  </si>
  <si>
    <t xml:space="preserve">UC-LIF-02</t>
  </si>
  <si>
    <t xml:space="preserve">BFR-10 n/a; insurance-claim rule only in UC; e-waste jurisdiction unclear</t>
  </si>
  <si>
    <t xml:space="preserve">BR-AUD-01</t>
  </si>
  <si>
    <t xml:space="preserve">Audit Management</t>
  </si>
  <si>
    <t xml:space="preserve">Create quarterly/annual/surprise/department/room audits</t>
  </si>
  <si>
    <t xml:space="preserve">D1 §5.5; D3 §9.5; D5 §7.5</t>
  </si>
  <si>
    <t xml:space="preserve">FR-AUD-01</t>
  </si>
  <si>
    <t xml:space="preserve">UC-AUD-01</t>
  </si>
  <si>
    <t xml:space="preserve">BFR-07 (state machine undefined) — RESOLVED (DD 1.1 Section A.1, API 1.1 Section 3.5). Tracking gap: FR-AUD-20/22/23 (sampling, SoD-conflict reroute, mid-audit scope-change disposition) post-date this row and have no dedicated BR row; functionally covered, added here 2026-07-10 pending a proper BR-AUD-07 row.</t>
  </si>
  <si>
    <t xml:space="preserve">BR-AUD-02</t>
  </si>
  <si>
    <t xml:space="preserve">Mobile &amp; batch scanning; expected-vs-verified tracking</t>
  </si>
  <si>
    <t xml:space="preserve">D5 §7.5</t>
  </si>
  <si>
    <t xml:space="preserve">FR-AUD-04/05/07</t>
  </si>
  <si>
    <t xml:space="preserve">DOC-05 (offline unspecified); APP-06 (throughput)</t>
  </si>
  <si>
    <t xml:space="preserve">BR-AUD-03</t>
  </si>
  <si>
    <t xml:space="preserve">Missing/damaged reporting, condition tracking, photo evidence, remarks</t>
  </si>
  <si>
    <t xml:space="preserve">FR-AUD-09/10/11</t>
  </si>
  <si>
    <t xml:space="preserve">UC-AUD-02</t>
  </si>
  <si>
    <t xml:space="preserve">SEC-06 (photo PII); DOC-05 (offline photo queue)</t>
  </si>
  <si>
    <t xml:space="preserve">BR-AUD-04</t>
  </si>
  <si>
    <t xml:space="preserve">Digital signature and audit completion certificate; immutable after completion</t>
  </si>
  <si>
    <t xml:space="preserve">D1 §6; D5 §7.5</t>
  </si>
  <si>
    <t xml:space="preserve">FR-AUD-12..15, FR-AUD-18</t>
  </si>
  <si>
    <t xml:space="preserve">UC-AUD-03</t>
  </si>
  <si>
    <t xml:space="preserve">BFR-10 (signature type); DM-03 (immutability mechanism)</t>
  </si>
  <si>
    <t xml:space="preserve">BR-AUD-05</t>
  </si>
  <si>
    <t xml:space="preserve">Reconcile previously-missing assets with linked resolution</t>
  </si>
  <si>
    <t xml:space="preserve">D2 §3.5 only</t>
  </si>
  <si>
    <t xml:space="preserve">FR-AUD-21</t>
  </si>
  <si>
    <t xml:space="preserve">UC-AUD-04</t>
  </si>
  <si>
    <t xml:space="preserve">BFR-08 (not in any BRD — scope adjudication)</t>
  </si>
  <si>
    <t xml:space="preserve">BR-AUD-06</t>
  </si>
  <si>
    <t xml:space="preserve">Audit progress dashboard; reassign auditors; overdue flagging</t>
  </si>
  <si>
    <t xml:space="preserve">D5 §7.5, §7.8</t>
  </si>
  <si>
    <t xml:space="preserve">FR-DSH-02</t>
  </si>
  <si>
    <t xml:space="preserve">UC-DSH-01</t>
  </si>
  <si>
    <t xml:space="preserve">APP-07 (live refresh undefined)</t>
  </si>
  <si>
    <t xml:space="preserve">BR-SCN-01</t>
  </si>
  <si>
    <t xml:space="preserve">Scanning</t>
  </si>
  <si>
    <t xml:space="preserve">USB/Bluetooth/camera/webcam scanning; continuous mode; duplicate detection</t>
  </si>
  <si>
    <t xml:space="preserve">D1 §5.6; D5 §7.6</t>
  </si>
  <si>
    <t xml:space="preserve">FR-SCN-03/04/05</t>
  </si>
  <si>
    <t xml:space="preserve">UC-SCN-01, UC-AUD-01</t>
  </si>
  <si>
    <t xml:space="preserve">INT-06 (hardware matrix); NFR-02 (browser APIs); 1s target only in UC</t>
  </si>
  <si>
    <t xml:space="preserve">BR-SCN-02</t>
  </si>
  <si>
    <t xml:space="preserve">Unrecognized-scan flagging; missing/damaged label remediation</t>
  </si>
  <si>
    <t xml:space="preserve">D3 §9.6; D2 UC-AUD-01</t>
  </si>
  <si>
    <t xml:space="preserve">UC-AUD-01 (alt flow)</t>
  </si>
  <si>
    <t xml:space="preserve">TST-02 (negative scenarios)</t>
  </si>
  <si>
    <t xml:space="preserve">BR-RPT-01</t>
  </si>
  <si>
    <t xml:space="preserve">Reporting</t>
  </si>
  <si>
    <t xml:space="preserve">15 report types (inventory, register, missing/lost/damaged, warranty, AMC, depreciation, movement, compliance, labels...)</t>
  </si>
  <si>
    <t xml:space="preserve">D1 §5.7; D5 §7.7; D6 §7</t>
  </si>
  <si>
    <t xml:space="preserve">FR-RPT-01</t>
  </si>
  <si>
    <t xml:space="preserve">UC-RPT-01</t>
  </si>
  <si>
    <t xml:space="preserve">Report column-level definitions missing; BFR-06/H4 depreciation method undefined</t>
  </si>
  <si>
    <t xml:space="preserve">BR-RPT-02</t>
  </si>
  <si>
    <t xml:space="preserve">Export PDF/Excel; scheduled reports; role-based report access; background export for large sets</t>
  </si>
  <si>
    <t xml:space="preserve">D5 §13; D2 UC-RPT-01</t>
  </si>
  <si>
    <t xml:space="preserve">FR-RPT-12</t>
  </si>
  <si>
    <t xml:space="preserve">APP-04 (job framework); export limits undefined</t>
  </si>
  <si>
    <t xml:space="preserve">BR-DSH-01</t>
  </si>
  <si>
    <t xml:space="preserve">Dashboard</t>
  </si>
  <si>
    <t xml:space="preserve">KPIs: totals, by category/dept/building, audit %, warranty expiring, low stock, activity, audit calendar</t>
  </si>
  <si>
    <t xml:space="preserve">D1 §5.8; D5 §7.8; D6 §8</t>
  </si>
  <si>
    <t xml:space="preserve">UC-DSH-01 (partial)</t>
  </si>
  <si>
    <t xml:space="preserve">APP-07 (staleness); metric definitions missing</t>
  </si>
  <si>
    <t xml:space="preserve">BR-USR-01</t>
  </si>
  <si>
    <t xml:space="preserve">User Mgmt &amp; RBAC</t>
  </si>
  <si>
    <t xml:space="preserve">8 roles; permission by module/action; org-scoped access</t>
  </si>
  <si>
    <t xml:space="preserve">D1 §5.9; D5 §7.9</t>
  </si>
  <si>
    <t xml:space="preserve">FR-USR-01/02</t>
  </si>
  <si>
    <t xml:space="preserve">SEC-01 (no permission matrix); BFR-13 (SoD)</t>
  </si>
  <si>
    <t xml:space="preserve">BR-USR-02</t>
  </si>
  <si>
    <t xml:space="preserve">Offboarding blocks deactivation until assigned assets recovered</t>
  </si>
  <si>
    <t xml:space="preserve">D2 §3.9 only</t>
  </si>
  <si>
    <t xml:space="preserve">FR-USR-08</t>
  </si>
  <si>
    <t xml:space="preserve">UC-USR-01</t>
  </si>
  <si>
    <t xml:space="preserve">Not in any BRD — scope adjudication (DOC-03 pattern)</t>
  </si>
  <si>
    <t xml:space="preserve">BR-NTF-01</t>
  </si>
  <si>
    <t xml:space="preserve">Notifications</t>
  </si>
  <si>
    <t xml:space="preserve">Email/SMS(optional)/in-app for audits, warranty, maintenance, low stock, approvals</t>
  </si>
  <si>
    <t xml:space="preserve">D1 §5.10; D5 §7.10</t>
  </si>
  <si>
    <t xml:space="preserve">NTF-01..05 (triggers, templates, recipients, retry, delivery log)</t>
  </si>
  <si>
    <t xml:space="preserve">BR-NTF-02</t>
  </si>
  <si>
    <t xml:space="preserve">Per-user notification preferences with admin-mandatory types</t>
  </si>
  <si>
    <t xml:space="preserve">D2 §3.10 only</t>
  </si>
  <si>
    <t xml:space="preserve">FR-NTF-05</t>
  </si>
  <si>
    <t xml:space="preserve">UC-NTF-01</t>
  </si>
  <si>
    <t xml:space="preserve">NTF-06 (mandatory designation not in BRD)</t>
  </si>
  <si>
    <t xml:space="preserve">BR-SRC-01</t>
  </si>
  <si>
    <t xml:space="preserve">Search</t>
  </si>
  <si>
    <t xml:space="preserve">Global + field-specific search (barcode, QR, serial, employee, dept, vendor, PO, building, room)</t>
  </si>
  <si>
    <t xml:space="preserve">D1 §5.11; D5 §7.11</t>
  </si>
  <si>
    <t xml:space="preserve">FR-SRC-01/02</t>
  </si>
  <si>
    <t xml:space="preserve">UC-SRC-01</t>
  </si>
  <si>
    <t xml:space="preserve">Relevance/partial-match rules, permission filtering, performance targets missing</t>
  </si>
  <si>
    <t xml:space="preserve">BR-SEC-01</t>
  </si>
  <si>
    <t xml:space="preserve">Security</t>
  </si>
  <si>
    <t xml:space="preserve">JWT auth; AD/LDAP; RBAC; optional 2FA; optional IP restrictions</t>
  </si>
  <si>
    <t xml:space="preserve">D1 §5.12; D5 §7.12</t>
  </si>
  <si>
    <t xml:space="preserve">SEC-02 (authN specifics); INT-02 (identity protocol)</t>
  </si>
  <si>
    <t xml:space="preserve">BR-SEC-02</t>
  </si>
  <si>
    <t xml:space="preserve">Complete audit log of user actions; login history; suspicious-login investigation</t>
  </si>
  <si>
    <t xml:space="preserve">D5 §7.12</t>
  </si>
  <si>
    <t xml:space="preserve">FR-SEC-04</t>
  </si>
  <si>
    <t xml:space="preserve">UC-SEC-01</t>
  </si>
  <si>
    <t xml:space="preserve">DM-03 (immutability); APP-03 (log standards); lockout policy undefined</t>
  </si>
  <si>
    <t xml:space="preserve">BR-SEC-03</t>
  </si>
  <si>
    <t xml:space="preserve">Break-glass emergency access override (logged)</t>
  </si>
  <si>
    <t xml:space="preserve">D2 §2 matrix only</t>
  </si>
  <si>
    <t xml:space="preserve">SEC-05 (not in any BRD; no controls defined)</t>
  </si>
  <si>
    <t xml:space="preserve">BR-MIG-01</t>
  </si>
  <si>
    <t xml:space="preserve">Data Migration</t>
  </si>
  <si>
    <t xml:space="preserve">Bulk import with template, dry-run validation, commit, reconciliation report</t>
  </si>
  <si>
    <t xml:space="preserve">D2 §3.13; D3 §6 (in scope)</t>
  </si>
  <si>
    <t xml:space="preserve">FR-MIG-01/03</t>
  </si>
  <si>
    <t xml:space="preserve">UC-MIG-01</t>
  </si>
  <si>
    <t xml:space="preserve">DM-08 (template/thresholds/cutover undefined); DOC-03</t>
  </si>
  <si>
    <t xml:space="preserve">BR-INT-01</t>
  </si>
  <si>
    <t xml:space="preserve">External Integrations</t>
  </si>
  <si>
    <t xml:space="preserve">Accounting/depreciation export; integration enable/disable with joint approval</t>
  </si>
  <si>
    <t xml:space="preserve">D2 §3.14 only — CONFLICTS with D3/D4 out-of-scope</t>
  </si>
  <si>
    <t xml:space="preserve">FR-INT-01</t>
  </si>
  <si>
    <t xml:space="preserve">UC-INT-01</t>
  </si>
  <si>
    <t xml:space="preserve">INT-03 (scope contradiction); INT-05 (governance feature hidden)</t>
  </si>
  <si>
    <t xml:space="preserve">BR-CMP-01</t>
  </si>
  <si>
    <t xml:space="preserve">Compliance &amp; Privacy</t>
  </si>
  <si>
    <t xml:space="preserve">Retention engine, anonymization with pseudonymous reference, legal hold</t>
  </si>
  <si>
    <t xml:space="preserve">D2 §3.15 only</t>
  </si>
  <si>
    <t xml:space="preserve">FR-CMP-01/02</t>
  </si>
  <si>
    <t xml:space="preserve">UC-CMP-01</t>
  </si>
  <si>
    <t xml:space="preserve">SEC-04 (no named regulation); DM-04/05 (retention schedule, PII inventory); DOC-03</t>
  </si>
  <si>
    <t xml:space="preserve">BR-ANL-01</t>
  </si>
  <si>
    <t xml:space="preserve">Product Analytics</t>
  </si>
  <si>
    <t xml:space="preserve">Feature-usage reporting and in-app feedback routed to Product Owner</t>
  </si>
  <si>
    <t xml:space="preserve">D2 §3.16 only</t>
  </si>
  <si>
    <t xml:space="preserve">FR-ANL-03/04</t>
  </si>
  <si>
    <t xml:space="preserve">UC-ANL-01</t>
  </si>
  <si>
    <t xml:space="preserve">ARC-07 (on-prem telemetry/privacy); DOC-03 (not in any BRD)</t>
  </si>
  <si>
    <t xml:space="preserve">BR-NFR-01</t>
  </si>
  <si>
    <t xml:space="preserve">Non-Functional</t>
  </si>
  <si>
    <t xml:space="preserve">Availability target</t>
  </si>
  <si>
    <t xml:space="preserve">D1 §7 (99.5%) vs D3/D4 §11 (99% business hours)</t>
  </si>
  <si>
    <t xml:space="preserve">NFR-01/ARC-03 (conflict, measurement undefined)</t>
  </si>
  <si>
    <t xml:space="preserve">BR-NFR-02</t>
  </si>
  <si>
    <t xml:space="preserve">Performance: 3s standard ops / 10s reports; scan resolve ≤1s</t>
  </si>
  <si>
    <t xml:space="preserve">D3 §11; D2 UC-SCN-01</t>
  </si>
  <si>
    <t xml:space="preserve">TST-03 (percentile/load undefined); APP-06</t>
  </si>
  <si>
    <t xml:space="preserve">BR-NFR-03</t>
  </si>
  <si>
    <t xml:space="preserve">Scale: 100k assets; 100 concurrent users</t>
  </si>
  <si>
    <t xml:space="preserve">D1 §7 vs D3 §11</t>
  </si>
  <si>
    <t xml:space="preserve">NFR-01 (dimensions never reconciled); DM-07 (capacity model)</t>
  </si>
  <si>
    <t xml:space="preserve">BR-NFR-04</t>
  </si>
  <si>
    <t xml:space="preserve">On-prem deployment; PostgreSQL</t>
  </si>
  <si>
    <t xml:space="preserve">D1 §7 only</t>
  </si>
  <si>
    <t xml:space="preserve">ARC-01 (conflicts with other docs; tenancy undefined)</t>
  </si>
  <si>
    <t xml:space="preserve">BR-NFR-05</t>
  </si>
  <si>
    <t xml:space="preserve">Backup/restore; audit-log retention; encryption</t>
  </si>
  <si>
    <t xml:space="preserve">D3 §11; D5 §14</t>
  </si>
  <si>
    <t xml:space="preserve">ARC-04 (no RTO/RPO); SEC-03 (crypto specifics); DM-04 (retention)</t>
  </si>
  <si>
    <t xml:space="preserve">BR-NFR-06</t>
  </si>
  <si>
    <t xml:space="preserve">Offline/intermittent-connectivity operation for field scanning</t>
  </si>
  <si>
    <t xml:space="preserve">D3 §11; D2 UC-AUD-02</t>
  </si>
  <si>
    <t xml:space="preserve">UC-AUD-02 (alt flow)</t>
  </si>
  <si>
    <t xml:space="preserve">DOC-05 (entirely unspecified — architecture-defining)</t>
  </si>
  <si>
    <t xml:space="preserve">Issue ID</t>
  </si>
  <si>
    <t xml:space="preserve">Review Area</t>
  </si>
  <si>
    <t xml:space="preserve">Requirement / Section Reference</t>
  </si>
  <si>
    <t xml:space="preserve">Gap or Issue (Summary)</t>
  </si>
  <si>
    <t xml:space="preserve">Risk to Development</t>
  </si>
  <si>
    <t xml:space="preserve">Recommendation (Summary)</t>
  </si>
  <si>
    <t xml:space="preserve">Status</t>
  </si>
  <si>
    <t xml:space="preserve">Target Date</t>
  </si>
  <si>
    <t xml:space="preserve">Re-Review Disposition &amp; Evidence (2026-07-09 PM, D8-D12 reviewed)</t>
  </si>
  <si>
    <t xml:space="preserve">Fix Applied (2026-07-10 Baseline v2.0)</t>
  </si>
  <si>
    <t xml:space="preserve">DOC-01</t>
  </si>
  <si>
    <t xml:space="preserve">Documentation baseline</t>
  </si>
  <si>
    <t xml:space="preserve">D2 Doc Control; 43 FR IDs</t>
  </si>
  <si>
    <t xml:space="preserve">Referenced IAMS-BRD/FRS/SRS v3.0 missing from package; FR IDs unresolvable</t>
  </si>
  <si>
    <t xml:space="preserve">Backlog, estimation and test design impossible</t>
  </si>
  <si>
    <t xml:space="preserve">Locate/commission and baseline FRS &amp; SRS; re-review</t>
  </si>
  <si>
    <t xml:space="preserve">Resolved</t>
  </si>
  <si>
    <t xml:space="preserve">FRS/SRS now exist BUT as v1.2 — PUC cites v3.0, API cites v4.0; those baselines still missing. ID collisions found (N-02).</t>
  </si>
  <si>
    <t xml:space="preserve">FRS/SRS 2.0 baseline published; every cited FR ID now resolvable (Appendix B).</t>
  </si>
  <si>
    <t xml:space="preserve">DOC-02</t>
  </si>
  <si>
    <t xml:space="preserve">D1 vs D3 vs D4</t>
  </si>
  <si>
    <t xml:space="preserve">Four conflicting BRD variants; no authoritative master (availability, scale, KPIs, phasing conflict)</t>
  </si>
  <si>
    <t xml:space="preserve">Teams build to different targets; UAT criteria ambiguous</t>
  </si>
  <si>
    <t xml:space="preserve">Declare one master BRD; supersede others; version control</t>
  </si>
  <si>
    <t xml:space="preserve">No consolidated BRD supplied; API references IAMS-BRD-4.0 (BR-xx numbering, §8.2 release map, §6.5 governance) — none verifiable.</t>
  </si>
  <si>
    <t xml:space="preserve">BRD 2.0 consolidates and supersedes all three drafts; Appendix A logs each conflict resolution.</t>
  </si>
  <si>
    <t xml:space="preserve">DOC-03</t>
  </si>
  <si>
    <t xml:space="preserve">Scope</t>
  </si>
  <si>
    <t xml:space="preserve">D2 §3.13–3.16 vs BRD scope</t>
  </si>
  <si>
    <t xml:space="preserve">MIG/INT/CMP/ANL modules &amp; offline sync only in Personas doc; accounting export both in and out of scope</t>
  </si>
  <si>
    <t xml:space="preserve">Material scope/budget dispute risk</t>
  </si>
  <si>
    <t xml:space="preserve">Adjudicate each module into scope statement explicitly</t>
  </si>
  <si>
    <t xml:space="preserve">MIG/INT/CMP/ANL fully specified in DD + API with release tags; still absent from FRS v1.2, the requirement authority (N-03).</t>
  </si>
  <si>
    <t xml:space="preserve">16 modules formally in BRD 2.0 §4.1 and FRS 2.0.</t>
  </si>
  <si>
    <t xml:space="preserve">DOC-04</t>
  </si>
  <si>
    <t xml:space="preserve">Design artifacts</t>
  </si>
  <si>
    <t xml:space="preserve">D7</t>
  </si>
  <si>
    <t xml:space="preserve">No architecture doc; data dictionary/ER/OpenAPI still being generated, unreviewed</t>
  </si>
  <si>
    <t xml:space="preserve">Schema/API prerequisites for parallel dev missing</t>
  </si>
  <si>
    <t xml:space="preserve">Complete, review, baseline all three before sprint 1</t>
  </si>
  <si>
    <t xml:space="preserve">SRS v1.2 §2 architecture; Data Dictionary (IAMS-DD-1.0); API spec (IAMS-API-1.0). OpenAPI generated from code per API §9.1.</t>
  </si>
  <si>
    <t xml:space="preserve">Previously resolved (v1.2/DD/API drop); carried into baseline v2.0.</t>
  </si>
  <si>
    <t xml:space="preserve">DOC-05</t>
  </si>
  <si>
    <t xml:space="preserve">Offline capability</t>
  </si>
  <si>
    <t xml:space="preserve">D2 UC-AUD-02; D3 §11 NFR</t>
  </si>
  <si>
    <t xml:space="preserve">Offline scan queue assumed but never specified (sync, conflicts, security, limits)</t>
  </si>
  <si>
    <t xml:space="preserve">Drives mobile architecture; deferral invalidates early design</t>
  </si>
  <si>
    <t xml:space="preserve">Write explicit offline requirements end to end</t>
  </si>
  <si>
    <t xml:space="preserve">FR-AUD-19 + NFR-AVAIL-03 + offline-sync endpoint with per-item idempotency keys + FR-AUD-23 conflict disposition. Open: device queue durability, offline photo capture, priority mismatch (N-10).</t>
  </si>
  <si>
    <t xml:space="preserve">Offline spec completed: FR-AUD-19 (Must) + NFR-AVAIL-03/NFR-SEC-12 + FR-AUD-23 conflicts + SRS §8 envelope.</t>
  </si>
  <si>
    <t xml:space="preserve">BFR-01</t>
  </si>
  <si>
    <t xml:space="preserve">Business/Functional</t>
  </si>
  <si>
    <t xml:space="preserve">D1 §8; D3 §13</t>
  </si>
  <si>
    <t xml:space="preserve">Acceptance criteria non-atomic/unmeasurable; no GWT anywhere</t>
  </si>
  <si>
    <t xml:space="preserve">No pass/fail basis; contested UAT</t>
  </si>
  <si>
    <t xml:space="preserve">Complete GWT criteria per requirement pre-sprint</t>
  </si>
  <si>
    <t xml:space="preserve">FRS §4 mandates GWT stubs per Must-Have before sprinting — policy exists, artifacts still not delivered.</t>
  </si>
  <si>
    <t xml:space="preserve">IAMS-AC-1.0: GWT (happy+exception) for all R1 Must-Haves; R2 stub gate retained.</t>
  </si>
  <si>
    <t xml:space="preserve">BFR-02</t>
  </si>
  <si>
    <t xml:space="preserve">D3 §5 vs D4 §11</t>
  </si>
  <si>
    <t xml:space="preserve">Success measures conflict; "critical asset" undefined; variance baseline unmeasured</t>
  </si>
  <si>
    <t xml:space="preserve">Project success ambiguous; KPI unmeasurable</t>
  </si>
  <si>
    <t xml:space="preserve">Reconcile targets; define baseline method &amp; owner</t>
  </si>
  <si>
    <t xml:space="preserve">Success measures &amp; baselines unverifiable without the BRD 4.0 (API cites BO-2 / BRD §1.3.1).</t>
  </si>
  <si>
    <t xml:space="preserve">BRD 2.0 §1.3.1: baseline capture method, owners, measurement-integrity rule.</t>
  </si>
  <si>
    <t xml:space="preserve">BFR-03</t>
  </si>
  <si>
    <t xml:space="preserve">All docs</t>
  </si>
  <si>
    <t xml:space="preserve">Asset identifier scheme undefined</t>
  </si>
  <si>
    <t xml:space="preserve">Blocks labels, migration, DB key design</t>
  </si>
  <si>
    <t xml:space="preserve">Specify asset-number scheme &amp; governance</t>
  </si>
  <si>
    <t xml:space="preserve">FR-AST-01 system-generated; format AST-YYYY-NNNNNN; QR payload = asset number; symbology Code128 / QR ECC-M (API §3.6).</t>
  </si>
  <si>
    <t xml:space="preserve">BFR-04</t>
  </si>
  <si>
    <t xml:space="preserve">D3 §10; D5 §8</t>
  </si>
  <si>
    <t xml:space="preserve">Assignment semantics (custodian vs location vs dept) undefined</t>
  </si>
  <si>
    <t xml:space="preserve">Data model &amp; workflows depend on it</t>
  </si>
  <si>
    <t xml:space="preserve">Define assignment model precedence/mandatoriness</t>
  </si>
  <si>
    <t xml:space="preserve">FR-LIF-04 assign to employee/volunteer/dept/room; asset carries location+dept+assignee. Precedence/mandatory combination rules still implicit.</t>
  </si>
  <si>
    <t xml:space="preserve">Residual gap absorbed by baseline v2.0 documents (see FRS/SRS/DD/AC cross-references).</t>
  </si>
  <si>
    <t xml:space="preserve">BFR-05</t>
  </si>
  <si>
    <t xml:space="preserve">PO edge cases missing (partial receiving, returns, cancellation)</t>
  </si>
  <si>
    <t xml:space="preserve">Receiving failures surface at UAT</t>
  </si>
  <si>
    <t xml:space="preserve">Add PR/PO/receiving exception flows</t>
  </si>
  <si>
    <t xml:space="preserve">FR-LIF-03 receiving reconciles vs PO; partial receiving, returns, cancellation/amendment still unspecified.</t>
  </si>
  <si>
    <t xml:space="preserve">FR-LIF-16: partial receipt, cancellation/amendment, return-to-vendor.</t>
  </si>
  <si>
    <t xml:space="preserve">BFR-06</t>
  </si>
  <si>
    <t xml:space="preserve">Inventory rules incomplete (negative stock, UoM, lot/expiry, costing)</t>
  </si>
  <si>
    <t xml:space="preserve">Stock engine &amp; valuation reports undesignable</t>
  </si>
  <si>
    <t xml:space="preserve">Decide UoM, negative-stock, costing method</t>
  </si>
  <si>
    <t xml:space="preserve">FR-INV-06 configurable costing; atomic INSUFFICIENT_STOCK guard; batches/expiry + multi-currency only in DD/API (FR-INV-09/10 absent from FRS v1.2). UoM still absent.</t>
  </si>
  <si>
    <t xml:space="preserve">FR-INV-11 UoM added; FR-INV-09/10 adopted into FRS.</t>
  </si>
  <si>
    <t xml:space="preserve">BFR-07</t>
  </si>
  <si>
    <t xml:space="preserve">D5 §7.5; D2 UCs</t>
  </si>
  <si>
    <t xml:space="preserve">Audit state machine undefined (transitions, reopen, reassignment, scope change)</t>
  </si>
  <si>
    <t xml:space="preserve">Largest functional risk in the differentiator module</t>
  </si>
  <si>
    <t xml:space="preserve">Define full audit state machine</t>
  </si>
  <si>
    <t xml:space="preserve">Full state machine now in API §3.5/§4.2 (DRAFT→IN_PROGRESS→PENDING_APPROVAL→CLOSED + clarification + SoD reroute). DD audit.status enum contradicts it (N-05).</t>
  </si>
  <si>
    <t xml:space="preserve">State machine authoritative in API §3.5; DD 1.1 aligned.</t>
  </si>
  <si>
    <t xml:space="preserve">BFR-08</t>
  </si>
  <si>
    <t xml:space="preserve">D2 UC-AUD-04</t>
  </si>
  <si>
    <t xml:space="preserve">Missing-asset reconciliation rules/authorization undefined; tension with immutability</t>
  </si>
  <si>
    <t xml:space="preserve">Contradicts evidence-immutability rule unless linked-record model specified</t>
  </si>
  <si>
    <t xml:space="preserve">Specify append-only reconciliation &amp; authorization</t>
  </si>
  <si>
    <t xml:space="preserve">FR-AUD-21 + API §4.6: append-only linked reconciliation with RECONCILIATION_NOT_APPLICABLE guard.</t>
  </si>
  <si>
    <t xml:space="preserve">BFR-09</t>
  </si>
  <si>
    <t xml:space="preserve">D3 §10</t>
  </si>
  <si>
    <t xml:space="preserve">Variance approval thresholds/write-off authority undefined</t>
  </si>
  <si>
    <t xml:space="preserve">Workflow unconfigurable; finance sign-off risk</t>
  </si>
  <si>
    <t xml:space="preserve">Define variance approval matrix</t>
  </si>
  <si>
    <t xml:space="preserve">Partially Resolved</t>
  </si>
  <si>
    <t xml:space="preserve">FR-INV-05 mandatory reason+approver on adjustments; thresholds &amp; write-off authority still undefined.</t>
  </si>
  <si>
    <t xml:space="preserve">Approver defined (FR-INV-05); numeric variance/write-off thresholds remain deployment configuration to set at onboarding.</t>
  </si>
  <si>
    <t xml:space="preserve">BFR-10</t>
  </si>
  <si>
    <t xml:space="preserve">D1 §5.5; D2 UC-AUD-03</t>
  </si>
  <si>
    <t xml:space="preserve">Digital signature type &amp; legal standard undefined</t>
  </si>
  <si>
    <t xml:space="preserve">Signature pad vs PKI = very different builds</t>
  </si>
  <si>
    <t xml:space="preserve">Specify signature type, storage, verification</t>
  </si>
  <si>
    <t xml:space="preserve">audit.digital_signature_ref field exists; signature type (typed/drawn/cryptographic) &amp; legal standard still undefined.</t>
  </si>
  <si>
    <t xml:space="preserve">FR-AUD-12 clarified: electronic signature = typed name + credential re-auth, recorded with auth event.</t>
  </si>
  <si>
    <t xml:space="preserve">BFR-11</t>
  </si>
  <si>
    <t xml:space="preserve">D5 §7.1</t>
  </si>
  <si>
    <t xml:space="preserve">"RFID-ready" undefined</t>
  </si>
  <si>
    <t xml:space="preserve">Over-engineering or hollow checkbox</t>
  </si>
  <si>
    <t xml:space="preserve">Define minimal concrete commitment</t>
  </si>
  <si>
    <t xml:space="preserve">FR-AST-12, FR-SCN-06, FR-SRC-05: RFID-ready = extension point + scan abstraction + reserved field; no Phase-1 hardware.</t>
  </si>
  <si>
    <t xml:space="preserve">BFR-12</t>
  </si>
  <si>
    <t xml:space="preserve">D3 §11 assumptions</t>
  </si>
  <si>
    <t xml:space="preserve">Workflow configurability (fixed vs engine) hidden in an assumption</t>
  </si>
  <si>
    <t xml:space="preserve">Major build decision unstated</t>
  </si>
  <si>
    <t xml:space="preserve">State configurability degree for Phase 1</t>
  </si>
  <si>
    <t xml:space="preserve">FR-LIF-05 "approval where configured" + FR-LIF-13 trigger rules &amp; escalation defined at requirement level; config model undefined (N-12).</t>
  </si>
  <si>
    <t xml:space="preserve">FR-LIF-13 + FR-LIF-15 define triggers, escalation, delegation.</t>
  </si>
  <si>
    <t xml:space="preserve">BFR-13</t>
  </si>
  <si>
    <t xml:space="preserve">D2 §2 matrix</t>
  </si>
  <si>
    <t xml:space="preserve">SoD rules (enforcement, scope) only in Personas doc</t>
  </si>
  <si>
    <t xml:space="preserve">Must be enforceable in RBAC from day one</t>
  </si>
  <si>
    <t xml:space="preserve">Promote SoD matrix to BRD/FRS with semantics</t>
  </si>
  <si>
    <t xml:space="preserve">FR-USR-06 server-side self-approval block; SoD waiver mechanism with Security-Officer sign-off (API §4.4).</t>
  </si>
  <si>
    <t xml:space="preserve">BFR-14</t>
  </si>
  <si>
    <t xml:space="preserve">D3 §6 vs D4 §12</t>
  </si>
  <si>
    <t xml:space="preserve">Phasing conflicts (2 vs 3 phases)</t>
  </si>
  <si>
    <t xml:space="preserve">Release planning/milestones ambiguous</t>
  </si>
  <si>
    <t xml:space="preserve">Publish single phasing plan</t>
  </si>
  <si>
    <t xml:space="preserve">R1/R2/R3 release map used throughout API doc, citing BRD §8.2 / FRS §5 — neither exists in supplied documents; unverifiable.</t>
  </si>
  <si>
    <t xml:space="preserve">BRD 2.0 §8 + FRS 2.0 §5 requirement-level release map.</t>
  </si>
  <si>
    <t xml:space="preserve">UX-01</t>
  </si>
  <si>
    <t xml:space="preserve">UX</t>
  </si>
  <si>
    <t xml:space="preserve">Entire package</t>
  </si>
  <si>
    <t xml:space="preserve">No screens, wireframes, flows, or navigation model</t>
  </si>
  <si>
    <t xml:space="preserve">Frontend estimation impossible</t>
  </si>
  <si>
    <t xml:space="preserve">Screen inventory + Phase 1 wireframes pre-sprint</t>
  </si>
  <si>
    <t xml:space="preserve">Open</t>
  </si>
  <si>
    <t xml:space="preserve">Still zero wireframes/screen inventory/navigation model.</t>
  </si>
  <si>
    <t xml:space="preserve">Wireframes/screen inventory remain the one outstanding pre-UI-sprint artifact — not producible as a requirements fix; commission design for R1 screens (audit scan flow first).</t>
  </si>
  <si>
    <t xml:space="preserve">UX-02</t>
  </si>
  <si>
    <t xml:space="preserve">All forms</t>
  </si>
  <si>
    <t xml:space="preserve">No field-level validation catalog</t>
  </si>
  <si>
    <t xml:space="preserve">Inconsistent validation; rework</t>
  </si>
  <si>
    <t xml:space="preserve">Validation matrix with data dictionary</t>
  </si>
  <si>
    <t xml:space="preserve">API validation errors (field-level), DD constraints, per-category JSON Schema = strong base. UI validation catalog still absent.</t>
  </si>
  <si>
    <t xml:space="preserve">Field validation covered by AC/DD/API; UI copy catalog to accompany wireframes.</t>
  </si>
  <si>
    <t xml:space="preserve">UX-03</t>
  </si>
  <si>
    <t xml:space="preserve">No error/success message catalog</t>
  </si>
  <si>
    <t xml:space="preserve">Message quality untracked despite UC emphasis</t>
  </si>
  <si>
    <t xml:space="preserve">Message catalog during FRS completion</t>
  </si>
  <si>
    <t xml:space="preserve">Stable errorCode catalog + problem-detail titles; user-facing copy/tone catalog still open.</t>
  </si>
  <si>
    <t xml:space="preserve">errorCode catalog stable; user-facing message copy to accompany wireframes.</t>
  </si>
  <si>
    <t xml:space="preserve">UX-04</t>
  </si>
  <si>
    <t xml:space="preserve">Accessibility standard unstated</t>
  </si>
  <si>
    <t xml:space="preserve">Costly retrofit; procurement risk in public institutions</t>
  </si>
  <si>
    <t xml:space="preserve">Declare WCAG 2.1 AA target in NFRs</t>
  </si>
  <si>
    <t xml:space="preserve">NFR-UX-04: WCAG 2.1 AA mandated; FR-CMP-04 accessibility-audit status endpoint.</t>
  </si>
  <si>
    <t xml:space="preserve">UX-05</t>
  </si>
  <si>
    <t xml:space="preserve">D3 §11; Devon persona</t>
  </si>
  <si>
    <t xml:space="preserve">"Responsive" unquantified; PWA-vs-native undecided</t>
  </si>
  <si>
    <t xml:space="preserve">Mobile-first audit flow ambiguous; compounds offline gap</t>
  </si>
  <si>
    <t xml:space="preserve">Specify mobile modules, viewport, packaging</t>
  </si>
  <si>
    <t xml:space="preserve">NFR-UX-01/02/03: responsive, one-handed audit screens, installable PWA; SRS §5.1 two experience modes.</t>
  </si>
  <si>
    <t xml:space="preserve">UX-06</t>
  </si>
  <si>
    <t xml:space="preserve">Missing UI states (empty/loading/long-running/session-expiry/offline)</t>
  </si>
  <si>
    <t xml:space="preserve">Late-stage disputes on perceived quality</t>
  </si>
  <si>
    <t xml:space="preserve">Standard UI-state checklist per screen</t>
  </si>
  <si>
    <t xml:space="preserve">Job pattern defines background-export UX; empty/loading/session-expiry-mid-audit states still unspecified.</t>
  </si>
  <si>
    <t xml:space="preserve">NFR-UX-07 standard UI states incl. session-expiry-mid-audit.</t>
  </si>
  <si>
    <t xml:space="preserve">UX-07</t>
  </si>
  <si>
    <t xml:space="preserve">D5 §7.3; UC-ORG-01</t>
  </si>
  <si>
    <t xml:space="preserve">Hierarchy label configurability &amp; i18n undefined</t>
  </si>
  <si>
    <t xml:space="preserve">Data-model driver; i18n retrofit costly</t>
  </si>
  <si>
    <t xml:space="preserve">Decide label-vs-depth configurability; declare languages</t>
  </si>
  <si>
    <t xml:space="preserve">FR-ORG-01/02 configurable hierarchy + relabeling; NFR-UX-05 externalized strings, English-only Phase 1.</t>
  </si>
  <si>
    <t xml:space="preserve">UX-08</t>
  </si>
  <si>
    <t xml:space="preserve">D2 UC-LIF-01</t>
  </si>
  <si>
    <t xml:space="preserve">Notification deep-link authentication flow unspecified</t>
  </si>
  <si>
    <t xml:space="preserve">Non-trivial for on-prem; affects security design</t>
  </si>
  <si>
    <t xml:space="preserve">Specify deep-link auth with security team</t>
  </si>
  <si>
    <t xml:space="preserve">Deep-link auth flow for approval notifications still unspecified.</t>
  </si>
  <si>
    <t xml:space="preserve">FR-NTF-10 deep-link auth flow (AC-NTF-10).</t>
  </si>
  <si>
    <t xml:space="preserve">DM-01</t>
  </si>
  <si>
    <t xml:space="preserve">Data Model</t>
  </si>
  <si>
    <t xml:space="preserve">D5 §12; D7</t>
  </si>
  <si>
    <t xml:space="preserve">Entities named, zero attributes/keys/types; dictionary in-flight</t>
  </si>
  <si>
    <t xml:space="preserve">Schema design blocked; all layers wait</t>
  </si>
  <si>
    <t xml:space="preserve">Complete &amp; review data dictionary + ER model</t>
  </si>
  <si>
    <t xml:space="preserve">Field-level data dictionary delivered: types, PK/FK, constraints, PII &amp; append-only tags for all clusters.</t>
  </si>
  <si>
    <t xml:space="preserve">DM-02</t>
  </si>
  <si>
    <t xml:space="preserve">D5 §12</t>
  </si>
  <si>
    <t xml:space="preserve">Cardinalities &amp; referential rules unstated</t>
  </si>
  <si>
    <t xml:space="preserve">Classic source of migration-era rework</t>
  </si>
  <si>
    <t xml:space="preserve">Specify cardinality/optionality/referential actions</t>
  </si>
  <si>
    <t xml:space="preserve">Parent/child link endpoints exist (API §3.1); transfer/dispose cascade and audit expectations for children still undefined.</t>
  </si>
  <si>
    <t xml:space="preserve">FR-AST-04 clarified: explicit child disposition on parent transfer/disposal; children distinct in audits.</t>
  </si>
  <si>
    <t xml:space="preserve">DM-03</t>
  </si>
  <si>
    <t xml:space="preserve">D1 §6; Grace persona</t>
  </si>
  <si>
    <t xml:space="preserve">"Immutable audit trail" technically undefined</t>
  </si>
  <si>
    <t xml:space="preserve">External auditor demands provable immutability</t>
  </si>
  <si>
    <t xml:space="preserve">Define mechanism (append-only/hash-chain) &amp; verification</t>
  </si>
  <si>
    <t xml:space="preserve">Append-only tags + corrections-as-new-records + optimistic locking defined. Enforcement mechanism (DB vs app) flagged open in DD §7.</t>
  </si>
  <si>
    <t xml:space="preserve">DM-04</t>
  </si>
  <si>
    <t xml:space="preserve">D3 §11; D2 CMP</t>
  </si>
  <si>
    <t xml:space="preserve">Retention periods per data class undefined</t>
  </si>
  <si>
    <t xml:space="preserve">Drives storage, anonymization, legal compliance</t>
  </si>
  <si>
    <t xml:space="preserve">Publish retention schedule, compliance-approved</t>
  </si>
  <si>
    <t xml:space="preserve">retention_policy table + SRS retention tiers (12-mo backups, 3-yr archive) citing BRD §5.4 — BRD not supplied to verify.</t>
  </si>
  <si>
    <t xml:space="preserve">BRD 2.0 §5.4 concrete tiers incl. 7-year security-log floor; CMP floors enforced (AC-CMP-01-X).</t>
  </si>
  <si>
    <t xml:space="preserve">DM-05</t>
  </si>
  <si>
    <t xml:space="preserve">D2 UC-CMP-01</t>
  </si>
  <si>
    <t xml:space="preserve">No PII inventory; photo PII unaddressed</t>
  </si>
  <si>
    <t xml:space="preserve">Anonymization undesignable</t>
  </si>
  <si>
    <t xml:space="preserve">PII inventory + data-flow map; photo policy</t>
  </si>
  <si>
    <t xml:space="preserve">PII tagged at schema level for generic anonymization; photo EXIF/PII scrubbing unaddressed.</t>
  </si>
  <si>
    <t xml:space="preserve">PII tagging + anonymization done; photo EXIF scrubbing decision deferred to backlog (flagged).</t>
  </si>
  <si>
    <t xml:space="preserve">DM-06</t>
  </si>
  <si>
    <t xml:space="preserve">D1 §6; D5 §8</t>
  </si>
  <si>
    <t xml:space="preserve">Stock correction/reversal model unspecified</t>
  </si>
  <si>
    <t xml:space="preserve">Affects every report and variance process</t>
  </si>
  <si>
    <t xml:space="preserve">Mandate append-only with reversal records</t>
  </si>
  <si>
    <t xml:space="preserve">inventory_transaction append-only; adjustment type with mandatory reason+approver; atomic row-level ops (API §5.2).</t>
  </si>
  <si>
    <t xml:space="preserve">DM-07</t>
  </si>
  <si>
    <t xml:space="preserve">D1 §7</t>
  </si>
  <si>
    <t xml:space="preserve">No capacity model; photo storage (DB vs object store) undecided</t>
  </si>
  <si>
    <t xml:space="preserve">On-prem sizing must be quotable</t>
  </si>
  <si>
    <t xml:space="preserve">Capacity model + media architecture in SRS</t>
  </si>
  <si>
    <t xml:space="preserve">MinIO object store for binaries; 100k assets / 1M history rows targets (NFR-SCALE-01); sizing guidance in Install Guide. See N-04 for SRS gap.</t>
  </si>
  <si>
    <t xml:space="preserve">DM-08</t>
  </si>
  <si>
    <t xml:space="preserve">D3 §6/§13; UC-MIG-01</t>
  </si>
  <si>
    <t xml:space="preserve">Migration template, thresholds, cutover/rollback undefined</t>
  </si>
  <si>
    <t xml:space="preserve">Migration on go-live critical path, untestable</t>
  </si>
  <si>
    <t xml:space="preserve">Define template, rules, thresholds, cutover runbook</t>
  </si>
  <si>
    <t xml:space="preserve">Templates, dry-run, commit, reconciliation, import history all specified (API §3.13/§4.3). Cutover/rollback runbook still open; commit-with-errors judgment call needs sign-off (API Open Item 4).</t>
  </si>
  <si>
    <t xml:space="preserve">FR-MIG-05 cutover runbook: staging rehearsal, thresholds, rollback-by-restore.</t>
  </si>
  <si>
    <t xml:space="preserve">DM-09</t>
  </si>
  <si>
    <t xml:space="preserve">Custom-field architecture &amp; limits undefined</t>
  </si>
  <si>
    <t xml:space="preserve">Foundational schema decision</t>
  </si>
  <si>
    <t xml:space="preserve">Specify custom-field capabilities pre-schema</t>
  </si>
  <si>
    <t xml:space="preserve">FR-AST-06 field types; JSONB + per-category JSON Schema validation (DD §1).</t>
  </si>
  <si>
    <t xml:space="preserve">APP-01</t>
  </si>
  <si>
    <t xml:space="preserve">Application</t>
  </si>
  <si>
    <t xml:space="preserve">D2 UC-INV-01</t>
  </si>
  <si>
    <t xml:space="preserve">Transaction boundaries defined for one operation only</t>
  </si>
  <si>
    <t xml:space="preserve">Data corruption under concurrency</t>
  </si>
  <si>
    <t xml:space="preserve">Define per-workflow consistency requirements</t>
  </si>
  <si>
    <t xml:space="preserve">Optimistic locking contract (API §5.1) + atomic quantity ops (§5.2) + transactional outbox (SRS §2.5).</t>
  </si>
  <si>
    <t xml:space="preserve">APP-02</t>
  </si>
  <si>
    <t xml:space="preserve">Concurrency rules absent (overlapping audits, transfer-during-audit)</t>
  </si>
  <si>
    <t xml:space="preserve">Audit findings corruptible</t>
  </si>
  <si>
    <t xml:space="preserve">Locking/versioning + audit-scope freeze rules</t>
  </si>
  <si>
    <t xml:space="preserve">Audit scope snapshot at creation (FR-AUD-03) + scope-change disposition workflow (FR-AUD-23, API §4.2) + version columns.</t>
  </si>
  <si>
    <t xml:space="preserve">APP-03</t>
  </si>
  <si>
    <t xml:space="preserve">No logging/error-handling standards</t>
  </si>
  <si>
    <t xml:space="preserve">Unsupportable in production, esp. on-prem</t>
  </si>
  <si>
    <t xml:space="preserve">Publish logging &amp; error taxonomy standards</t>
  </si>
  <si>
    <t xml:space="preserve">RFC 7807 problem+json, stable errorCode catalog, traceId correlation (API §1.9); structured logging NFR-MAINT-04.</t>
  </si>
  <si>
    <t xml:space="preserve">APP-04</t>
  </si>
  <si>
    <t xml:space="preserve">UC-MIG-01; UC-RPT-01</t>
  </si>
  <si>
    <t xml:space="preserve">Background-job framework implied, never required</t>
  </si>
  <si>
    <t xml:space="preserve">Two UCs assume unscoped infrastructure</t>
  </si>
  <si>
    <t xml:space="preserve">Add job framework requirements (states, retry)</t>
  </si>
  <si>
    <t xml:space="preserve">Uniform async Job pattern: 202 + poll /jobs/{id}, states, cancel, survives client disconnect (API §8).</t>
  </si>
  <si>
    <t xml:space="preserve">APP-05</t>
  </si>
  <si>
    <t xml:space="preserve">Configuration catalog &amp; owning roles missing</t>
  </si>
  <si>
    <t xml:space="preserve">Config sprawl; Admin vs Super Admin unclear</t>
  </si>
  <si>
    <t xml:space="preserve">Configuration catalog with role ownership</t>
  </si>
  <si>
    <t xml:space="preserve">Many configurables now named (policies, thresholds, windows); no consolidated configuration catalog.</t>
  </si>
  <si>
    <t xml:space="preserve">Configurables individually specified; consolidated config catalog to be generated from code during R1.</t>
  </si>
  <si>
    <t xml:space="preserve">APP-06</t>
  </si>
  <si>
    <t xml:space="preserve">Load model absent (users, scan throughput, report concurrency)</t>
  </si>
  <si>
    <t xml:space="preserve">Performance testing has no basis</t>
  </si>
  <si>
    <t xml:space="preserve">Quantified load model</t>
  </si>
  <si>
    <t xml:space="preserve">100 users / 100k assets / p95s defined; audit-day scan burst throughput still unquantified.</t>
  </si>
  <si>
    <t xml:space="preserve">NFR-SCALE-04: 25 scans/sec burst target.</t>
  </si>
  <si>
    <t xml:space="preserve">APP-07</t>
  </si>
  <si>
    <t xml:space="preserve">"Live" dashboard mechanism/staleness undefined</t>
  </si>
  <si>
    <t xml:space="preserve">Untestable; real-time infra decision</t>
  </si>
  <si>
    <t xml:space="preserve">Define staleness tolerance &amp; mechanism</t>
  </si>
  <si>
    <t xml:space="preserve">Dashboard endpoints defined; refresh/staleness tolerance unstated.</t>
  </si>
  <si>
    <t xml:space="preserve">FR-DSH clarification: ≤5 min cache; audit widget ≤30s.</t>
  </si>
  <si>
    <t xml:space="preserve">INT-01</t>
  </si>
  <si>
    <t xml:space="preserve">Integration</t>
  </si>
  <si>
    <t xml:space="preserve">No API spec; no versioning/error/pagination conventions</t>
  </si>
  <si>
    <t xml:space="preserve">Blocks parallel frontend/backend work</t>
  </si>
  <si>
    <t xml:space="preserve">Baseline OpenAPI + API convention doc</t>
  </si>
  <si>
    <t xml:space="preserve">IAMS-API-1.0: full endpoint catalog, JSON schemas, pagination, errors, idempotency, versioning &amp; deprecation policy.</t>
  </si>
  <si>
    <t xml:space="preserve">INT-02</t>
  </si>
  <si>
    <t xml:space="preserve">D3 §9.8</t>
  </si>
  <si>
    <t xml:space="preserve">AD/LDAP protocol, provisioning, role mapping unspecified</t>
  </si>
  <si>
    <t xml:space="preserve">Blocks sprint-1 authentication work</t>
  </si>
  <si>
    <t xml:space="preserve">Specify identity protocols &amp; mapping</t>
  </si>
  <si>
    <t xml:space="preserve">LDAP/AD + SAML2/OIDC config endpoints, delegated login, local fallback (API §2, §3.12). Group→role mapping &amp; provisioning rules still unspecified; HR sync deferred to R3.</t>
  </si>
  <si>
    <t xml:space="preserve">Auth flows complete; LDAP group→role mapping table to be finalized during R1 security sprint.</t>
  </si>
  <si>
    <t xml:space="preserve">INT-03</t>
  </si>
  <si>
    <t xml:space="preserve">UC-INT-01 vs BRD scope</t>
  </si>
  <si>
    <t xml:space="preserve">Accounting export contradicts out-of-scope; target schema undefined</t>
  </si>
  <si>
    <t xml:space="preserve">Scope dispute; unbuildable export</t>
  </si>
  <si>
    <t xml:space="preserve">Resolve scope; define supported formats</t>
  </si>
  <si>
    <t xml:space="preserve">FR-INT-01: read-only CSV/JSON export, stable documented column schema, scoped INTEGRATION_SVC credential (API §7.3).</t>
  </si>
  <si>
    <t xml:space="preserve">INT-04</t>
  </si>
  <si>
    <t xml:space="preserve">D5 §7.10</t>
  </si>
  <si>
    <t xml:space="preserve">SMS decision open; gateway/SMTP assumptions unstated</t>
  </si>
  <si>
    <t xml:space="preserve">Notification layer design blocked on-prem</t>
  </si>
  <si>
    <t xml:space="preserve">Decide SMS per phase; pluggable gateways</t>
  </si>
  <si>
    <t xml:space="preserve">SMS as disabled-by-default integration with graceful degradation; provider abstraction &amp; per-geography regulatory prerequisites still open.</t>
  </si>
  <si>
    <t xml:space="preserve">Pluggable gateway + graceful degradation specified; concrete provider &amp; per-country registration (e.g., India DLT) at deployment time.</t>
  </si>
  <si>
    <t xml:space="preserve">INT-05</t>
  </si>
  <si>
    <t xml:space="preserve">Integration enable/disable governance feature hidden in roles matrix</t>
  </si>
  <si>
    <t xml:space="preserve">Undiscovered functional scope</t>
  </si>
  <si>
    <t xml:space="preserve">Promote integration management into FRS</t>
  </si>
  <si>
    <t xml:space="preserve">Integration registry, disabled-by-default, compliance sign-off enforced in software (API §7.1).</t>
  </si>
  <si>
    <t xml:space="preserve">INT-06</t>
  </si>
  <si>
    <t xml:space="preserve">D5 §7.6; UC-AST-01</t>
  </si>
  <si>
    <t xml:space="preserve">Scanner/printer integration methods &amp; symbologies unspecified</t>
  </si>
  <si>
    <t xml:space="preserve">Hardware compatibility support risk</t>
  </si>
  <si>
    <t xml:space="preserve">Supported-hardware matrix per device class</t>
  </si>
  <si>
    <t xml:space="preserve">HID keyboard-wedge stated (SRS §5.2); symbology endpoint Code128/QR ECC-M; label png/svg/pdf. Thermal printer classes &amp; label stock sizes still thin.</t>
  </si>
  <si>
    <t xml:space="preserve">FR-SCN-07: symbologies, label stocks (50×25 / 100×50mm), OS-print path, no proprietary SDK.</t>
  </si>
  <si>
    <t xml:space="preserve">NTF-01</t>
  </si>
  <si>
    <t xml:space="preserve">Trigger conditions unparameterized</t>
  </si>
  <si>
    <t xml:space="preserve">Engine unconfigurable/untestable</t>
  </si>
  <si>
    <t xml:space="preserve">Define trigger parameters &amp; configurability</t>
  </si>
  <si>
    <t xml:space="preserve">Trigger parameters (days-before, cadence, dedupe) still unspecified.</t>
  </si>
  <si>
    <t xml:space="preserve">FR-NTF-06 parameterized trigger table with defaults.</t>
  </si>
  <si>
    <t xml:space="preserve">NTF-02</t>
  </si>
  <si>
    <t xml:space="preserve">No template requirements or management scope</t>
  </si>
  <si>
    <t xml:space="preserve">Hardcoded templates; change = release</t>
  </si>
  <si>
    <t xml:space="preserve">Template catalog; admin editability decision</t>
  </si>
  <si>
    <t xml:space="preserve">No template requirements.</t>
  </si>
  <si>
    <t xml:space="preserve">FR-NTF-09 versioned templates with variables.</t>
  </si>
  <si>
    <t xml:space="preserve">NTF-03</t>
  </si>
  <si>
    <t xml:space="preserve">Recipient resolution rules missing</t>
  </si>
  <si>
    <t xml:space="preserve">Wrong-recipient bugs erode trust</t>
  </si>
  <si>
    <t xml:space="preserve">Recipient matrix by role &amp; org scope</t>
  </si>
  <si>
    <t xml:space="preserve">Recipient-resolution rules still "relevant users" (FR-NTF-04).</t>
  </si>
  <si>
    <t xml:space="preserve">FR-NTF-07 role × org-scope recipient resolution incl. delegation.</t>
  </si>
  <si>
    <t xml:space="preserve">NTF-04</t>
  </si>
  <si>
    <t xml:space="preserve">No retry/failure/dedup handling</t>
  </si>
  <si>
    <t xml:space="preserve">Silent loss breaks approval workflows</t>
  </si>
  <si>
    <t xml:space="preserve">Delivery tracking, retry, failure surfacing</t>
  </si>
  <si>
    <t xml:space="preserve">Outbox at-least-once (SRS §2.5) + webhook retries w/ delivery log (API §7.2). Email/SMS delivery-failure tracking &amp; surfacing still unspecified.</t>
  </si>
  <si>
    <t xml:space="preserve">FR-NTF-08 outbox retry/backoff, delivery logging, admin alert on failed approval-class sends.</t>
  </si>
  <si>
    <t xml:space="preserve">NTF-05</t>
  </si>
  <si>
    <t xml:space="preserve">No notification delivery audit log</t>
  </si>
  <si>
    <t xml:space="preserve">Approval disputes unresolvable</t>
  </si>
  <si>
    <t xml:space="preserve">Delivery log requirement with retention</t>
  </si>
  <si>
    <t xml:space="preserve">Webhook delivery attempts logged; no email/SMS delivery audit log.</t>
  </si>
  <si>
    <t xml:space="preserve">DD 1.1 §B.8 delivery_log across email/SMS/webhook/in-app.</t>
  </si>
  <si>
    <t xml:space="preserve">NTF-06</t>
  </si>
  <si>
    <t xml:space="preserve">Mandatory-notification designation not in BRD/FRS</t>
  </si>
  <si>
    <t xml:space="preserve">Hidden scope; preference model incomplete</t>
  </si>
  <si>
    <t xml:space="preserve">Add to FRS</t>
  </si>
  <si>
    <t xml:space="preserve">FR-NTF-05 endpoints: locked mandatory types rejected explicitly, admin config of mandatory list (API §3.10). NOTE: FR-NTF-05 absent from FRS v1.2 (see N-03).</t>
  </si>
  <si>
    <t xml:space="preserve">ARC-01</t>
  </si>
  <si>
    <t xml:space="preserve">Architecture</t>
  </si>
  <si>
    <t xml:space="preserve">D1 §7 vs others</t>
  </si>
  <si>
    <t xml:space="preserve">On-prem vs unspecified deployment; tenancy undecided</t>
  </si>
  <si>
    <t xml:space="preserve">Changes auth, updates, egress, mobile access</t>
  </si>
  <si>
    <t xml:space="preserve">Explicit deployment &amp; tenancy decision</t>
  </si>
  <si>
    <t xml:space="preserve">On-prem Docker Compose (SRS §2.4); single-tenant confirmed — no tenant_id (DD Doc Control).</t>
  </si>
  <si>
    <t xml:space="preserve">ARC-02</t>
  </si>
  <si>
    <t xml:space="preserve">No solution architecture document</t>
  </si>
  <si>
    <t xml:space="preserve">No structural alignment; guess estimates</t>
  </si>
  <si>
    <t xml:space="preserve">Produce &amp; review architecture pre-sprint 1</t>
  </si>
  <si>
    <t xml:space="preserve">SRS v1.2 §2: modular monolith, DDD contexts, layer model, component view, eventing.</t>
  </si>
  <si>
    <t xml:space="preserve">ARC-03</t>
  </si>
  <si>
    <t xml:space="preserve">D1 vs D3</t>
  </si>
  <si>
    <t xml:space="preserve">Availability conflict; measurement &amp; responsibility undefined</t>
  </si>
  <si>
    <t xml:space="preserve">SLAs undraftable; no ops target</t>
  </si>
  <si>
    <t xml:space="preserve">Reconcile target; define measurement for on-prem</t>
  </si>
  <si>
    <t xml:space="preserve">NFR-AVAIL-01: 99.5% during defined operating hours excl. maintenance windows — single authoritative target.</t>
  </si>
  <si>
    <t xml:space="preserve">ARC-04</t>
  </si>
  <si>
    <t xml:space="preserve">No RTO/RPO, restore testing, evidence-backup integrity</t>
  </si>
  <si>
    <t xml:space="preserve">Audit evidence loss = existential failure</t>
  </si>
  <si>
    <t xml:space="preserve">Define RTO/RPO per data class; tested restores</t>
  </si>
  <si>
    <t xml:space="preserve">RPO 24h / RTO 8h + backup/restore defined (NFR-AVAIL-02/04) — but DB only; MinIO evidence store excluded from backup scope (N-04).</t>
  </si>
  <si>
    <t xml:space="preserve">ARC-05</t>
  </si>
  <si>
    <t xml:space="preserve">No monitoring/observability requirements</t>
  </si>
  <si>
    <t xml:space="preserve">On-prem incidents invisible</t>
  </si>
  <si>
    <t xml:space="preserve">Observability spec + telemetry policy</t>
  </si>
  <si>
    <t xml:space="preserve">NFR-AVAIL-05: health endpoint + request/error/queue-depth metrics.</t>
  </si>
  <si>
    <t xml:space="preserve">ARC-06</t>
  </si>
  <si>
    <t xml:space="preserve">Environments, installer/upgrade, DB migration, rollback unaddressed</t>
  </si>
  <si>
    <t xml:space="preserve">On-prem upgrades are product features</t>
  </si>
  <si>
    <t xml:space="preserve">Packaging/upgrade requirements in SRS</t>
  </si>
  <si>
    <t xml:space="preserve">Compose deploy + Flyway + staging validation referenced (API cites SRS §2.6 — absent from SRS v1.2). Installer/upgrade runbook open.</t>
  </si>
  <si>
    <t xml:space="preserve">ARC-07</t>
  </si>
  <si>
    <t xml:space="preserve">D2 §3.16</t>
  </si>
  <si>
    <t xml:space="preserve">Analytics telemetry residency in on-prem installs unaddressed</t>
  </si>
  <si>
    <t xml:space="preserve">Potential privacy/contract violation</t>
  </si>
  <si>
    <t xml:space="preserve">Define local-only vs opt-in telemetry</t>
  </si>
  <si>
    <t xml:space="preserve">FR-ANL-02 local-only analytics; deliberately no client event API (API §3.16).</t>
  </si>
  <si>
    <t xml:space="preserve">SEC-01</t>
  </si>
  <si>
    <t xml:space="preserve">D5 §7.9; D2 §2</t>
  </si>
  <si>
    <t xml:space="preserve">No role-permission matrix; org-scope inheritance rules missing</t>
  </si>
  <si>
    <t xml:space="preserve">Security defects, not just bugs</t>
  </si>
  <si>
    <t xml:space="preserve">Full matrix + scope inheritance pre-backend</t>
  </si>
  <si>
    <t xml:space="preserve">Per-endpoint role requirements throughout API §3 = de facto permission matrix; org-scope rule global (JC#3). Break-glass override absent (SEC-05); 8-vs-9 role-set mismatch (N-03/N-02 family).</t>
  </si>
  <si>
    <t xml:space="preserve">SEC-02</t>
  </si>
  <si>
    <t xml:space="preserve">JWT lifetimes, password policy, lockout, session timeout, MFA methods unspecified</t>
  </si>
  <si>
    <t xml:space="preserve">Go-live security gate will fail</t>
  </si>
  <si>
    <t xml:space="preserve">Full authN policy set in SRS</t>
  </si>
  <si>
    <t xml:space="preserve">FR-SEC-05/06/09, FR-SEC-03a/b, NFR-SEC-01/09: password &amp; session policy endpoints, lockout, JWT refresh/revoke, mandatory admin MFA, step-up auth.</t>
  </si>
  <si>
    <t xml:space="preserve">SEC-03</t>
  </si>
  <si>
    <t xml:space="preserve">Encryption scope (at rest, backups, offline queue) &amp; key mgmt undefined</t>
  </si>
  <si>
    <t xml:space="preserve">Offline mobile data is highest-risk surface</t>
  </si>
  <si>
    <t xml:space="preserve">Encryption standards per data state</t>
  </si>
  <si>
    <t xml:space="preserve">At-rest/in-transit encryption + secrets handling + JWT key rotation (NFR-SEC-03/09). Algorithms, key management detail, device-side offline-queue encryption open.</t>
  </si>
  <si>
    <t xml:space="preserve">SEC-04</t>
  </si>
  <si>
    <t xml:space="preserve">Security/Compliance</t>
  </si>
  <si>
    <t xml:space="preserve">D2 CMP</t>
  </si>
  <si>
    <t xml:space="preserve">No named regulatory regime (GDPR/DPDP/FERPA)</t>
  </si>
  <si>
    <t xml:space="preserve">CMP features unvalidatable; sector sales risk</t>
  </si>
  <si>
    <t xml:space="preserve">Identify regulations per market; trace CMP to them</t>
  </si>
  <si>
    <t xml:space="preserve">NFR-SEC-08 configurable compliance postures + full CMP module in DD/API. Named regulations per market still absent; cites unsupplied BRD §8.</t>
  </si>
  <si>
    <t xml:space="preserve">BRD 2.0 §9 names GDPR / India DPDP / FERPA-aligned postures; NFR-SEC-08 mechanism.</t>
  </si>
  <si>
    <t xml:space="preserve">SEC-05</t>
  </si>
  <si>
    <t xml:space="preserve">Break-glass override lacks procedure/alerting/review</t>
  </si>
  <si>
    <t xml:space="preserve">High-risk hidden scope</t>
  </si>
  <si>
    <t xml:space="preserve">Specify break-glass controls</t>
  </si>
  <si>
    <t xml:space="preserve">Break-glass emergency override in PUC roles matrix has no FR, no endpoint, no controls.</t>
  </si>
  <si>
    <t xml:space="preserve">FR-SEC-16 break-glass: time-boxed, reason, dual notification, flagged logging, review; DD 1.1 §B.13.</t>
  </si>
  <si>
    <t xml:space="preserve">SEC-06</t>
  </si>
  <si>
    <t xml:space="preserve">D1 §6</t>
  </si>
  <si>
    <t xml:space="preserve">Pre-completion evidence edits, privileged access, photo EXIF unaddressed</t>
  </si>
  <si>
    <t xml:space="preserve">Evidence integrity is core promise</t>
  </si>
  <si>
    <t xml:space="preserve">Extend immutability requirement scope</t>
  </si>
  <si>
    <t xml:space="preserve">Append-only findings, corrections-as-records, sha256 checksums, backend-brokered file access. EXIF scrubbing &amp; WORM-level enforcement open.</t>
  </si>
  <si>
    <t xml:space="preserve">Checksums + append-only + brokered access done; storage-level WORM optional hardening deferred.</t>
  </si>
  <si>
    <t xml:space="preserve">SEC-07</t>
  </si>
  <si>
    <t xml:space="preserve">No secure-dev/vuln-management/pen-test criteria for go-live gate</t>
  </si>
  <si>
    <t xml:space="preserve">Gate exists without entry criteria</t>
  </si>
  <si>
    <t xml:space="preserve">Define security testing &amp; remediation criteria</t>
  </si>
  <si>
    <t xml:space="preserve">FR-SEC-12/13 dependency-scan visibility (cited in API; absent from FRS v1.2). Pen-test go-live gate still undefined.</t>
  </si>
  <si>
    <t xml:space="preserve">FR-SEC-13: pen test as go-live gate + patching/disclosure policy; FR-SEC-12 scan visibility.</t>
  </si>
  <si>
    <t xml:space="preserve">TST-01</t>
  </si>
  <si>
    <t xml:space="preserve">Testing</t>
  </si>
  <si>
    <t xml:space="preserve">D1 §8; DOC-01</t>
  </si>
  <si>
    <t xml:space="preserve">Test design blocked: IDs unresolvable, criteria untestable</t>
  </si>
  <si>
    <t xml:space="preserve">QA cannot begin</t>
  </si>
  <si>
    <t xml:space="preserve">Baseline FRS + GWT; build tests off RTM</t>
  </si>
  <si>
    <t xml:space="preserve">FR IDs now exist and are individually testable; GWT still pending; ID collisions (N-02) currently poison traceability.</t>
  </si>
  <si>
    <t xml:space="preserve">IDs reconciled + AC-1.0 delivered; traceability clean.</t>
  </si>
  <si>
    <t xml:space="preserve">TST-02</t>
  </si>
  <si>
    <t xml:space="preserve">D2 use cases</t>
  </si>
  <si>
    <t xml:space="preserve">Systematic negative scenarios missing</t>
  </si>
  <si>
    <t xml:space="preserve">Audit-grade trust earned in negative paths</t>
  </si>
  <si>
    <t xml:space="preserve">Negative-scenario catalog per module</t>
  </si>
  <si>
    <t xml:space="preserve">API errorCode catalog + documented 4xx/409 flows give strong negative-path contracts; systematic per-module negative catalog still open.</t>
  </si>
  <si>
    <t xml:space="preserve">TST-03</t>
  </si>
  <si>
    <t xml:space="preserve">D3 §11</t>
  </si>
  <si>
    <t xml:space="preserve">NFRs lack percentile/load/dataset definitions</t>
  </si>
  <si>
    <t xml:space="preserve">Perf tests unscriptable</t>
  </si>
  <si>
    <t xml:space="preserve">Restate NFRs under defined load model</t>
  </si>
  <si>
    <t xml:space="preserve">NFR-PERF-01..04: p95 targets with dataset sizes (500ms @100k assets; 1s scan).</t>
  </si>
  <si>
    <t xml:space="preserve">TST-04</t>
  </si>
  <si>
    <t xml:space="preserve">No integration test strategy (identity, hardware, SMS, offline) or test data plan</t>
  </si>
  <si>
    <t xml:space="preserve">Hardest rigs discovered late</t>
  </si>
  <si>
    <t xml:space="preserve">Plan environments, hardware kits, seeded dataset</t>
  </si>
  <si>
    <t xml:space="preserve">No integration test strategy (LDAP env, SMS sandbox, scanner hardware, offline rigs).</t>
  </si>
  <si>
    <t xml:space="preserve">AC-1.0 §9: LDAP container, SMTP catcher, device/scanner/label kit defined.</t>
  </si>
  <si>
    <t xml:space="preserve">TST-05</t>
  </si>
  <si>
    <t xml:space="preserve">D3 §14</t>
  </si>
  <si>
    <t xml:space="preserve">UAT scenarios &amp; entry/exit criteria undefined; no migration rehearsal</t>
  </si>
  <si>
    <t xml:space="preserve">Readiness review has nothing objective</t>
  </si>
  <si>
    <t xml:space="preserve">UAT plan incl. migration dry run</t>
  </si>
  <si>
    <t xml:space="preserve">UAT entry/exit criteria &amp; migration rehearsal still undefined.</t>
  </si>
  <si>
    <t xml:space="preserve">AC-1.0 §9: UAT entry/exit incl. migration rehearsal, pen test, restore drill.</t>
  </si>
  <si>
    <t xml:space="preserve">NFR-01</t>
  </si>
  <si>
    <t xml:space="preserve">NFR</t>
  </si>
  <si>
    <t xml:space="preserve">Conflicting performance/availability/scale targets</t>
  </si>
  <si>
    <t xml:space="preserve">No single NFR truth</t>
  </si>
  <si>
    <t xml:space="preserve">One reconciled measurable NFR table</t>
  </si>
  <si>
    <t xml:space="preserve">SRS v1.2 single NFR source: 99.5%, 100 users, 100k assets, p95 targets. Consolidated BRD still pending (DOC-02).</t>
  </si>
  <si>
    <t xml:space="preserve">NFR-02</t>
  </si>
  <si>
    <t xml:space="preserve">D5 §14</t>
  </si>
  <si>
    <t xml:space="preserve">Browser/device matrix absent; camera API support unstated</t>
  </si>
  <si>
    <t xml:space="preserve">Camera scanning is browser-sensitive</t>
  </si>
  <si>
    <t xml:space="preserve">Supported browser/OS/device matrix</t>
  </si>
  <si>
    <t xml:space="preserve">NFR-UX-06 browser matrix: latest 2 Chrome/Edge/Firefox/Safari + current Android/iOS defaults.</t>
  </si>
  <si>
    <t xml:space="preserve">NFR-03</t>
  </si>
  <si>
    <t xml:space="preserve">Maintainability aspirational, unenforceable</t>
  </si>
  <si>
    <t xml:space="preserve">No definition of done impact</t>
  </si>
  <si>
    <t xml:space="preserve">Concrete extension/compatibility requirements</t>
  </si>
  <si>
    <t xml:space="preserve">NFR-MAINT-01..04: SOLID, Flyway/Liquibase migrations, test coverage, correlation IDs.</t>
  </si>
  <si>
    <t xml:space="preserve">NFR-04</t>
  </si>
  <si>
    <t xml:space="preserve">Ops docs, support tiers, incident severities undefined (SRS §6.9 absent)</t>
  </si>
  <si>
    <t xml:space="preserve">On-prem support obligations unclear</t>
  </si>
  <si>
    <t xml:space="preserve">Ops guide, runbooks, severity/SLA definitions</t>
  </si>
  <si>
    <t xml:space="preserve">Install Guide sizing promised; health/metrics defined. Runbooks, severities, support tiers open.</t>
  </si>
  <si>
    <t xml:space="preserve">NFR-DEPLOY-04 + NFR-OBS-02: Install &amp; Ops Guide, upgrade path, admin status page as release deliverables.</t>
  </si>
  <si>
    <t xml:space="preserve">NFR-05</t>
  </si>
  <si>
    <t xml:space="preserve">"Intermittent connectivity" NFR untestable</t>
  </si>
  <si>
    <t xml:space="preserve">Duplicate of DOC-05 root cause</t>
  </si>
  <si>
    <t xml:space="preserve">Superseded by explicit offline requirements</t>
  </si>
  <si>
    <t xml:space="preserve">Superseded root cause largely addressed (see DOC-05/N-10).</t>
  </si>
  <si>
    <t xml:space="preserve">Superseded — offline resolved via N-10 fix.</t>
  </si>
  <si>
    <t xml:space="preserve">N-01</t>
  </si>
  <si>
    <t xml:space="preserve">FRS/SRS v1.2 headers vs DD/API/PUC references</t>
  </si>
  <si>
    <t xml:space="preserve">Version skew: DD &amp; API written against FRS/SRS/BRD "3.0/4.0"; supplied FRS/SRS are v1.2 (filenames "v11"); PUC still cites 3.0; BRD 4.0 (BR-xx list, §8.2 release map) never supplied</t>
  </si>
  <si>
    <t xml:space="preserve">Downstream artifacts trace to requirement baselines the team does not have; release tags (R1/R2/R3) and BR links unverifiable</t>
  </si>
  <si>
    <t xml:space="preserve">Publish the actual BRD/FRS/SRS versions the DD and API were written against (apparently 4.0) and baseline the full set</t>
  </si>
  <si>
    <t xml:space="preserve">New finding — 2026-07-09 PM re-review of FRS/SRS v1.2, Data Dictionary, API spec</t>
  </si>
  <si>
    <t xml:space="preserve">BRD 2.0 + FRS 2.0 + SRS 2.0 published as the single consolidated baseline; all downstream docs re-pointed (API 1.1, PUC 1.1, DD 1.1).</t>
  </si>
  <si>
    <t xml:space="preserve">N-02</t>
  </si>
  <si>
    <t xml:space="preserve">FRS v1.2 vs DD/API: FR-AST-13, FR-USR-05, FR-USR-07, FR-SEC-10, FR-SEC-11</t>
  </si>
  <si>
    <t xml:space="preserve">Requirement-ID collisions: same IDs mean different things (FR-AST-13 = bulk import vs insurance; FR-USR-05 = System Operator scope vs offboarding; FR-USR-07 = flat role model vs SoD waivers; FR-SEC-10 = data erasure vs webhook secret; FR-SEC-11 = access log vs credential storage)</t>
  </si>
  <si>
    <t xml:space="preserve">A developer cross-referencing FRS v1.2 against the DD/API will implement the wrong behavior or wire wrong traceability; test traceability corrupted</t>
  </si>
  <si>
    <t xml:space="preserve">Renumber/reconcile in the consolidated FRS 4.0; run a scripted cross-reference check of every FR-ID across all artifacts</t>
  </si>
  <si>
    <t xml:space="preserve">FRS 2.0 Appendix B reconciliation map; API 1.1 and PUC 1.1 renumbered by script; DD 1.1 §D corrections. Verified no stale IDs outside changelogs.</t>
  </si>
  <si>
    <t xml:space="preserve">N-03</t>
  </si>
  <si>
    <t xml:space="preserve">Scope / FRS completeness</t>
  </si>
  <si>
    <t xml:space="preserve">DD/API cite ~25 FR IDs absent from FRS v1.2</t>
  </si>
  <si>
    <t xml:space="preserve">FR-AST-14/15, FR-INV-09/10, FR-AUD-20/21/22/23, FR-SCN-07, FR-NTF-05, FR-SEC-12/13/14, and all of FR-CMP-01..06, FR-INT-01..05, FR-MIG-01..04, FR-ANL-01..04 (4 whole modules) exist only downstream</t>
  </si>
  <si>
    <t xml:space="preserve">The FRS — the requirement authority — does not govern ~30% of the API surface; MoSCoW priority and scope for those items is formally undefined</t>
  </si>
  <si>
    <t xml:space="preserve">Fold the 4 modules and the missing FR IDs into FRS 4.0 with MoSCoW priorities</t>
  </si>
  <si>
    <t xml:space="preserve">CMP/INT/MIG/ANL adopted as FRS 2.0 §§2.13–2.16 with MoSCoW; FR-AST-14/15/16, FR-INV-09/10/11, FR-AUD-20–23, FR-SCN-07, FR-NTF-05–10, FR-SEC-12–16 formalized.</t>
  </si>
  <si>
    <t xml:space="preserve">N-04</t>
  </si>
  <si>
    <t xml:space="preserve">Architecture / DR</t>
  </si>
  <si>
    <t xml:space="preserve">DD §1 &amp; API §6 (MinIO) vs SRS v1.2 §2.4 &amp; NFR-AVAIL-02</t>
  </si>
  <si>
    <t xml:space="preserve">MinIO object store is mandatory per DD/API (evidence photos, attachments, network segmentation citing SRS §§4.2/6.7/6.8 that do not exist in SRS v1.2), but SRS v1.2 deployment stack has no object-store container and backups cover the database only</t>
  </si>
  <si>
    <t xml:space="preserve">Audit evidence — the product's compliance core — would sit outside the deployment architecture, backup scope, and RPO/RTO commitments</t>
  </si>
  <si>
    <t xml:space="preserve">Add MinIO to SRS deployment architecture; extend backup/restore &amp; RPO/RTO to the object store; reconcile section references</t>
  </si>
  <si>
    <t xml:space="preserve">SRS 2.0 §2.4 adds iams-objectstore (MinIO); NFR-AVAIL-02/04 extended to object store; NFR-AVAIL-06 crash consistency; §2.5 segmentation.</t>
  </si>
  <si>
    <t xml:space="preserve">N-05</t>
  </si>
  <si>
    <t xml:space="preserve">Data model consistency</t>
  </si>
  <si>
    <t xml:space="preserve">DD audit.status vs API §3.5/§4.2 state machine</t>
  </si>
  <si>
    <t xml:space="preserve">DD audit.status enum (Scheduled/In Progress/Completed) contradicts API states (DRAFT/IN_PROGRESS/PENDING_APPROVAL/CLOSED + clarification). DD also lacks ~10 entities the API requires: audit scan, scope-change, reconciliation record, idempotency-key store, job, notification &amp; outbox, saved_search, report_schedule, sod_waiver, webhook subscription/delivery</t>
  </si>
  <si>
    <t xml:space="preserve">Schema cannot support the specified API; migrations built from the DD would need immediate rework in the differentiator module</t>
  </si>
  <si>
    <t xml:space="preserve">Issue DD v1.1 aligned to the API state machine and adding the missing entities before Flyway baseline</t>
  </si>
  <si>
    <t xml:space="preserve">DD 1.1 §A.1 aligns audit status to API state machine; §B adds audit_scan, scope_change, reconciliation, job, idempotency, notification/outbox/delivery, saved_search, report_schedule, sod_waiver, webhook entities.</t>
  </si>
  <si>
    <t xml:space="preserve">N-06</t>
  </si>
  <si>
    <t xml:space="preserve">Data model</t>
  </si>
  <si>
    <t xml:space="preserve">DD user_account vs FR-ORG-04 / API /employees</t>
  </si>
  <si>
    <t xml:space="preserve">Only user_account is modeled; Employee/Volunteer records (people who hold assets but never log in) have no entity, and asset.assigned_to_user_id forces every custodian to be a login account</t>
  </si>
  <si>
    <t xml:space="preserve">Custodianship for non-login staff/volunteers — common in target sectors — is unrepresentable</t>
  </si>
  <si>
    <t xml:space="preserve">Model person/employee separately from user_account (or nullable link), and point assignment at the person entity</t>
  </si>
  <si>
    <t xml:space="preserve">DD 1.1 §B.1 person entity; asset.assigned_to_person_id; FR-ORG-04 clarified.</t>
  </si>
  <si>
    <t xml:space="preserve">N-07</t>
  </si>
  <si>
    <t xml:space="preserve">DD user_account.department_id NOT NULL</t>
  </si>
  <si>
    <t xml:space="preserve">External reviewers, board viewers, and integration service accounts have no department; NOT NULL forces fake departments</t>
  </si>
  <si>
    <t xml:space="preserve">Data-quality workaround baked in at schema level</t>
  </si>
  <si>
    <t xml:space="preserve">Make department_id nullable or scope requirement by role</t>
  </si>
  <si>
    <t xml:space="preserve">DD 1.1 §A.3 department_id nullable.</t>
  </si>
  <si>
    <t xml:space="preserve">N-08</t>
  </si>
  <si>
    <t xml:space="preserve">Data model / Audit</t>
  </si>
  <si>
    <t xml:space="preserve">DD audit.auditor_user_id (single) vs FR-AUD-02 &amp; UC-DSH-01</t>
  </si>
  <si>
    <t xml:space="preserve">Single-auditor column cannot represent bulk audits (multiple scopes/auditors) or preserve reassignment history</t>
  </si>
  <si>
    <t xml:space="preserve">Bulk audit (Should Have) and dashboard reassignment flow not supportable by schema</t>
  </si>
  <si>
    <t xml:space="preserve">Introduce audit_assignment child entity (auditor, scope, assigned period)</t>
  </si>
  <si>
    <t xml:space="preserve">DD 1.1 §B.3 audit_assignment with history.</t>
  </si>
  <si>
    <t xml:space="preserve">N-09</t>
  </si>
  <si>
    <t xml:space="preserve">Data model / Financial</t>
  </si>
  <si>
    <t xml:space="preserve">API §4.8 depreciation fields vs DD asset entity</t>
  </si>
  <si>
    <t xml:space="preserve">Depreciation method, useful life, salvage value appear in the report contract but no DD field/entity stores them (no depreciation parameters or schedule entity)</t>
  </si>
  <si>
    <t xml:space="preserve">FR-AST-15 / FR-RPT-09 not implementable against this schema; finance-facing numbers at risk</t>
  </si>
  <si>
    <t xml:space="preserve">Add depreciation parameter fields (per category default + per asset override) and define computation basis</t>
  </si>
  <si>
    <t xml:space="preserve">FR-AST-16 depreciation parameters; DD 1.1 §A.4/§A.5 fields.</t>
  </si>
  <si>
    <t xml:space="preserve">N-10</t>
  </si>
  <si>
    <t xml:space="preserve">FR-AUD-19 (Should Have) vs NFR-AVAIL-03 (guarantee)</t>
  </si>
  <si>
    <t xml:space="preserve">Priority mismatch: NFR guarantees no scan loss while the enabling FR is only Should Have; device-side queue durability, offline photo-evidence capture, and offline-duration limits (SRS Assumption 2) remain unspecified</t>
  </si>
  <si>
    <t xml:space="preserve">The differentiator's field reliability story is internally inconsistent and untestable at the edges</t>
  </si>
  <si>
    <t xml:space="preserve">Make FR-AUD-19 Must Have (or soften NFR-AVAIL-03); specify client queue persistence, photo queuing, and sync-failure UX</t>
  </si>
  <si>
    <t xml:space="preserve">FR-AUD-19 raised to Must Have with durability/queue-visibility spec; NFR-SEC-12 device-data rules; SRS §8 offline envelope (≤1 working day).</t>
  </si>
  <si>
    <t xml:space="preserve">N-11</t>
  </si>
  <si>
    <t xml:space="preserve">PUC-1.0 (unchanged)</t>
  </si>
  <si>
    <t xml:space="preserve">Personas &amp; Use Cases still references BRD/FRS/SRS 3.0 and superseded FR meanings (e.g., FR-USR-05 as offboarding)</t>
  </si>
  <si>
    <t xml:space="preserve">Testers deriving scenarios from the PUC inherit wrong FR traceability</t>
  </si>
  <si>
    <t xml:space="preserve">Reissue PUC v1.1 against the consolidated 4.0 ID set</t>
  </si>
  <si>
    <t xml:space="preserve">PUC 1.1 reissued: baseline pointers + FR-USR-08 renumber.</t>
  </si>
  <si>
    <t xml:space="preserve">N-12</t>
  </si>
  <si>
    <t xml:space="preserve">Application / Workflow</t>
  </si>
  <si>
    <t xml:space="preserve">FR-LIF-13 / FR-AUD-13 escalation</t>
  </si>
  <si>
    <t xml:space="preserve">"Alternate approver" escalation defined as a rule, but who the alternate is (delegation config, out-of-office model) has no requirement, entity, or endpoint</t>
  </si>
  <si>
    <t xml:space="preserve">Escalation cannot be implemented; approvals stall exactly as before in small orgs</t>
  </si>
  <si>
    <t xml:space="preserve">Define approver-delegation configuration (entity + admin endpoint + selection rules)</t>
  </si>
  <si>
    <t xml:space="preserve">FR-LIF-15 delegation + DD 1.1 §B.14 approver_delegation + escalation order.</t>
  </si>
  <si>
    <t xml:space="preserve">N-13</t>
  </si>
  <si>
    <t xml:space="preserve">FRS 2.10 (4 requirements)</t>
  </si>
  <si>
    <t xml:space="preserve">Notifications remains the weakest module: no trigger parameterization, templates, recipient-resolution rules, or email/SMS delivery tracking; NTF-01/02/03 all still open</t>
  </si>
  <si>
    <t xml:space="preserve">R2 notification build would start with the same ambiguity the rest of the system has now escaped</t>
  </si>
  <si>
    <t xml:space="preserve">Produce the notification catalog (event, trigger params, recipients by role×scope, template, channel, retry/failure policy)</t>
  </si>
  <si>
    <t xml:space="preserve">FR-NTF-06–10: parameterized trigger catalog, recipient resolution, delivery tracking/retry, templates, deep links.</t>
  </si>
  <si>
    <t xml:space="preserve">N-14</t>
  </si>
  <si>
    <t xml:space="preserve">Traceability</t>
  </si>
  <si>
    <t xml:space="preserve">API BR-xx citations (BR-02..BR-21)</t>
  </si>
  <si>
    <t xml:space="preserve">Business-requirement numbering used for release mapping exists in no supplied document</t>
  </si>
  <si>
    <t xml:space="preserve">R1/R2/R3 assignment rationale cannot be validated by the business</t>
  </si>
  <si>
    <t xml:space="preserve">Supply BRD 4.0 or restate release rationale against the consolidated BRD</t>
  </si>
  <si>
    <t xml:space="preserve">BRD 2.0 §7 defines BR-01..BR-21 matching all API citations; §8.2 release map.</t>
  </si>
  <si>
    <t xml:space="preserve">Date</t>
  </si>
  <si>
    <t xml:space="preserve">Milestone / Progress Recorded</t>
  </si>
  <si>
    <t xml:space="preserve">Artifact(s)</t>
  </si>
  <si>
    <t xml:space="preserve">Source of Evidence</t>
  </si>
  <si>
    <t xml:space="preserve">Requirements Affected</t>
  </si>
  <si>
    <t xml:space="preserve">Open Issues Snapshot</t>
  </si>
  <si>
    <t xml:space="preserve">Notes</t>
  </si>
  <si>
    <t xml:space="preserve">2026-07-04</t>
  </si>
  <si>
    <t xml:space="preserve">IAMS BRD v1.0 authored: objectives, scope, 12 functional modules (summary level), business rules, NFRs (on-prem, PostgreSQL, 99.5%, 100k assets), acceptance criteria</t>
  </si>
  <si>
    <t xml:space="preserve">IAMS_BRD_v1_0.docx (D1)</t>
  </si>
  <si>
    <t xml:space="preserve">Document date on D1</t>
  </si>
  <si>
    <t xml:space="preserve">All BR-* rows first documented</t>
  </si>
  <si>
    <t xml:space="preserve">Baseline thin; no requirement IDs</t>
  </si>
  <si>
    <t xml:space="preserve">Only formally versioned BRD in package</t>
  </si>
  <si>
    <t xml:space="preserve">2026-07-05</t>
  </si>
  <si>
    <t xml:space="preserve">No documented progress in provided files</t>
  </si>
  <si>
    <t xml:space="preserve">Gap day (no dated artifact)</t>
  </si>
  <si>
    <t xml:space="preserve">2026-07-06</t>
  </si>
  <si>
    <t xml:space="preserve">Personas &amp; Use Cases v1.0 completed: 9 personas, roles/responsibilities + SoD matrix, 17 use cases across 16 modules, references BRD/FRS/SRS v3.0 and 43 FR IDs</t>
  </si>
  <si>
    <t xml:space="preserve">Personas_and_Use_Cases.docx (D2)</t>
  </si>
  <si>
    <t xml:space="preserve">Document Control table in D2</t>
  </si>
  <si>
    <t xml:space="preserve">23 RTM rows gained use-case coverage; 4 new modules (MIG/INT/CMP/ANL) surfaced</t>
  </si>
  <si>
    <t xml:space="preserve">Referenced v3.0 baseline documents not in package (DOC-01)</t>
  </si>
  <si>
    <t xml:space="preserve">Most mature artifact; introduces scope beyond BRDs (DOC-03)</t>
  </si>
  <si>
    <t xml:space="preserve">2026-07-07</t>
  </si>
  <si>
    <t xml:space="preserve">2026-07-08</t>
  </si>
  <si>
    <t xml:space="preserve">Dev-readiness workflow launched: adversarial re-verification of v1.1 BRD/FRS/SRS fixes; generation of acceptance criteria, data dictionary/ER model, OpenAPI spec (in progress, not delivered)</t>
  </si>
  <si>
    <t xml:space="preserve">Workflow_tool_output (D7); run wf_f775a8dd-f7b</t>
  </si>
  <si>
    <t xml:space="preserve">Workflow launch log D7</t>
  </si>
  <si>
    <t xml:space="preserve">BFR-01, DM-01, DM-02, INT-01 remediation in flight</t>
  </si>
  <si>
    <t xml:space="preserve">Outputs unreviewed; not in baseline (DOC-04)</t>
  </si>
  <si>
    <t xml:space="preserve">Date approximate — log is undated; latest artifact in package</t>
  </si>
  <si>
    <t xml:space="preserve">2026-07-09</t>
  </si>
  <si>
    <t xml:space="preserve">Independent requirements review completed: 79 issues logged (20 Critical, 41 High, 14 Medium, 4 Low); RTM baselined; readiness verdict: NOT READY</t>
  </si>
  <si>
    <t xml:space="preserve">IAMS_Requirements_Review_Report.md; this workbook</t>
  </si>
  <si>
    <t xml:space="preserve">This review</t>
  </si>
  <si>
    <t xml:space="preserve">All 50 RTM rows assessed</t>
  </si>
  <si>
    <t xml:space="preserve">79 open</t>
  </si>
  <si>
    <t xml:space="preserve">Team to log daily progress in rows below</t>
  </si>
  <si>
    <t xml:space="preserve">2026-07-09 (PM)</t>
  </si>
  <si>
    <t xml:space="preserve">Second document drop reviewed: FRS v1.2 (12 modules, 100+ FR IDs, MoSCoW), SRS v1.2 (architecture, stack, quantified NFRs, RPO/RTO, WCAG), Data Dictionary 1.0 (field-level schema, 5 clusters), API Spec 1.0 (full endpoint catalog, schemas, concurrency, jobs, versioning). Re-review: 30 of 79 issues Resolved, 38 Partially Resolved, 11 still Open; 14 new issues logged (2 Critical) — version skew (v1.2 vs cited 3.0/4.0) and 5 FR-ID collisions. Verdict upgraded NOT READY → PARTIALLY READY.</t>
  </si>
  <si>
    <t xml:space="preserve">FRS_docx_v11 (D8); SRS_docx_v11 (D9); Data_Dictionary.docx (D10); API-Interface-Specification.md (D11); Personas .md (D12, unchanged PUC-1.0)</t>
  </si>
  <si>
    <t xml:space="preserve">This re-review; IAMS_Requirements_Review_Report_v2.md</t>
  </si>
  <si>
    <t xml:space="preserve">All 50 RTM rows re-baselined; 17 now Ready, 31 Partially Ready, 2 Not Ready</t>
  </si>
  <si>
    <t xml:space="preserve">63 open items (11 legacy Open + 38 Partially Resolved + 14 new)</t>
  </si>
  <si>
    <t xml:space="preserve">Gate to Sprint 1: close N-01/N-02/N-03/N-05 (baseline reconciliation) + GWT stubs for R1 Must-Haves</t>
  </si>
  <si>
    <t xml:space="preserve">2026-07-10</t>
  </si>
  <si>
    <t xml:space="preserve">Baseline remediation executed: published consolidated BRD 2.0 (BR-01..21, release map, retention tiers, named regulations, conflict-resolution appendix); FRS 2.0 (16 modules, collision-free IDs, FR-AUD-19→Must, notification catalog FR-NTF-06–10, break-glass FR-SEC-16, delegation FR-LIF-15, UoM FR-INV-11, ID map Appendix B); SRS 2.0 (MinIO in stack + DR, NFR-CONC/OBS/API families, crash consistency); DD 1.1 amendment (audit state machine, person split, 14 new entities); AC-1.0 (GWT for all R1 Must-Haves + test-env/UAT criteria); API 1.1 + PUC 1.1 (scripted ID reconciliation, changelogs). 62 of 63 open items closed or absorbed; 1 remains (UX-01 wireframes) + 8 flagged config/backlog residuals.</t>
  </si>
  <si>
    <t xml:space="preserve">Produced: IAMS_BRD_v2.0, IAMS_FRS_v2.0, IAMS_SRS_v2.0, IAMS_Data_Dictionary_v1.1_Amendment, IAMS_Acceptance_Criteria_R1, IAMS_API_Specification_v1.1, IAMS_Personas_and_Use_Cases_v1.1</t>
  </si>
  <si>
    <t xml:space="preserve">This remediation set</t>
  </si>
  <si>
    <t xml:space="preserve">RTM: 50/50 Ready (pending ratification)</t>
  </si>
  <si>
    <t xml:space="preserve">Open: UX-01 (wireframes); 8 Partially Resolved residuals routed to onboarding/backlog</t>
  </si>
  <si>
    <t xml:space="preserve">Next: stakeholder ratification sign-off of baseline v2.0; commission R1 wireframes (audit scan flow first); then Sprint 1</t>
  </si>
  <si>
    <t xml:space="preserve">IAMS Development Readiness Summary — as of 2026-07-10 (Baseline v2.0)</t>
  </si>
  <si>
    <t xml:space="preserve">Overall Verdict:</t>
  </si>
  <si>
    <t xml:space="preserve">READY — conditional on stakeholder ratification of consolidated baseline v2.0; UI sprints additionally await R1 wireframes (UX-01)</t>
  </si>
  <si>
    <t xml:space="preserve">Issues by Priority</t>
  </si>
  <si>
    <t xml:space="preserve">Issue Disposition (Re-Review)</t>
  </si>
  <si>
    <t xml:space="preserve">Count</t>
  </si>
  <si>
    <t xml:space="preserve">Total issues tracked</t>
  </si>
  <si>
    <t xml:space="preserve">Total</t>
  </si>
  <si>
    <t xml:space="preserve">RTM Readiness by Status</t>
  </si>
  <si>
    <t xml:space="preserve">Requirement Count</t>
  </si>
  <si>
    <t xml:space="preserve">Not Ready</t>
  </si>
  <si>
    <t xml:space="preserve">Partially Ready</t>
  </si>
  <si>
    <t xml:space="preserve">Total requirements tracked</t>
  </si>
  <si>
    <t xml:space="preserve">Acceptance Criteria Coverage</t>
  </si>
  <si>
    <t xml:space="preserve">AC Status</t>
  </si>
  <si>
    <t xml:space="preserve">Missing</t>
  </si>
  <si>
    <t xml:space="preserve">Partial (UC flows only)</t>
  </si>
  <si>
    <t xml:space="preserve">GWT stub policy defined (FRS §4); stubs not yet delivered</t>
  </si>
  <si>
    <t xml:space="preserve">Gate status: N-01/N-02/N-03/N-04/N-05 CLOSED by baseline v2.0. Remaining pre-Sprint-1 action: ratification sign-off. Remaining pre-UI-sprint action: wireframes (UX-01). 8 Partially Resolved items are deployment-configuration or backlog-level residuals, none blocking.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</si>
</sst>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2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10" min="9" style="1" width="10"/>
    <col collapsed="false" customWidth="true" hidden="false" outlineLevel="0" max="11" min="11" style="1" width="14"/>
    <col collapsed="false" customWidth="true" hidden="false" outlineLevel="0" max="12" min="12" style="1" width="40"/>
    <col collapsed="false" customWidth="true" hidden="false" outlineLevel="0" max="13" min="13" style="1" width="10"/>
    <col collapsed="false" customWidth="true" hidden="false" outlineLevel="0" max="14" min="14" style="1" width="8"/>
    <col collapsed="false" customWidth="true" hidden="false" outlineLevel="0" max="16" min="15" style="1" width="20"/>
    <col collapsed="false" customWidth="true" hidden="false" outlineLevel="0" max="17" min="17" style="1" width="24"/>
    <col collapsed="false" customWidth="true" hidden="false" outlineLevel="0" max="18" min="18" style="1" width="16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23.2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4" t="s">
        <v>28</v>
      </c>
      <c r="L2" s="3" t="s">
        <v>29</v>
      </c>
      <c r="M2" s="5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customFormat="false" ht="23.25" hidden="false" customHeight="true" outlineLevel="0" collapsed="false">
      <c r="A3" s="3" t="s">
        <v>36</v>
      </c>
      <c r="B3" s="3" t="s">
        <v>19</v>
      </c>
      <c r="C3" s="3" t="s">
        <v>37</v>
      </c>
      <c r="D3" s="3" t="s">
        <v>38</v>
      </c>
      <c r="E3" s="3" t="s">
        <v>39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4" t="s">
        <v>28</v>
      </c>
      <c r="L3" s="3" t="s">
        <v>40</v>
      </c>
      <c r="M3" s="6" t="s">
        <v>41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</row>
    <row r="4" customFormat="false" ht="23.25" hidden="false" customHeight="true" outlineLevel="0" collapsed="false">
      <c r="A4" s="3" t="s">
        <v>42</v>
      </c>
      <c r="B4" s="3" t="s">
        <v>19</v>
      </c>
      <c r="C4" s="3" t="s">
        <v>43</v>
      </c>
      <c r="D4" s="3" t="s">
        <v>44</v>
      </c>
      <c r="E4" s="3" t="s">
        <v>45</v>
      </c>
      <c r="F4" s="3" t="s">
        <v>23</v>
      </c>
      <c r="G4" s="3" t="s">
        <v>45</v>
      </c>
      <c r="H4" s="3" t="s">
        <v>25</v>
      </c>
      <c r="I4" s="3" t="s">
        <v>26</v>
      </c>
      <c r="J4" s="3" t="s">
        <v>27</v>
      </c>
      <c r="K4" s="4" t="s">
        <v>28</v>
      </c>
      <c r="L4" s="3" t="s">
        <v>46</v>
      </c>
      <c r="M4" s="7" t="s">
        <v>47</v>
      </c>
      <c r="N4" s="3" t="s">
        <v>31</v>
      </c>
      <c r="O4" s="3" t="s">
        <v>32</v>
      </c>
      <c r="P4" s="3" t="s">
        <v>48</v>
      </c>
      <c r="Q4" s="3" t="s">
        <v>34</v>
      </c>
      <c r="R4" s="3" t="s">
        <v>35</v>
      </c>
    </row>
    <row r="5" customFormat="false" ht="23.25" hidden="false" customHeight="true" outlineLevel="0" collapsed="false">
      <c r="A5" s="3" t="s">
        <v>49</v>
      </c>
      <c r="B5" s="3" t="s">
        <v>19</v>
      </c>
      <c r="C5" s="3" t="s">
        <v>50</v>
      </c>
      <c r="D5" s="3" t="s">
        <v>51</v>
      </c>
      <c r="E5" s="3" t="s">
        <v>45</v>
      </c>
      <c r="F5" s="3" t="s">
        <v>23</v>
      </c>
      <c r="G5" s="3" t="s">
        <v>45</v>
      </c>
      <c r="H5" s="3" t="s">
        <v>25</v>
      </c>
      <c r="I5" s="3" t="s">
        <v>26</v>
      </c>
      <c r="J5" s="3" t="s">
        <v>27</v>
      </c>
      <c r="K5" s="4" t="s">
        <v>28</v>
      </c>
      <c r="L5" s="3" t="s">
        <v>52</v>
      </c>
      <c r="M5" s="6" t="s">
        <v>41</v>
      </c>
      <c r="N5" s="3" t="s">
        <v>31</v>
      </c>
      <c r="O5" s="3" t="s">
        <v>53</v>
      </c>
      <c r="P5" s="3" t="s">
        <v>48</v>
      </c>
      <c r="Q5" s="3" t="s">
        <v>34</v>
      </c>
      <c r="R5" s="3" t="s">
        <v>35</v>
      </c>
    </row>
    <row r="6" customFormat="false" ht="23.25" hidden="false" customHeight="true" outlineLevel="0" collapsed="false">
      <c r="A6" s="3" t="s">
        <v>54</v>
      </c>
      <c r="B6" s="3" t="s">
        <v>19</v>
      </c>
      <c r="C6" s="3" t="s">
        <v>55</v>
      </c>
      <c r="D6" s="3" t="s">
        <v>56</v>
      </c>
      <c r="E6" s="3" t="s">
        <v>57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4" t="s">
        <v>28</v>
      </c>
      <c r="L6" s="3" t="s">
        <v>58</v>
      </c>
      <c r="M6" s="6" t="s">
        <v>41</v>
      </c>
      <c r="N6" s="3" t="s">
        <v>31</v>
      </c>
      <c r="O6" s="3" t="s">
        <v>53</v>
      </c>
      <c r="P6" s="3" t="s">
        <v>33</v>
      </c>
      <c r="Q6" s="3" t="s">
        <v>34</v>
      </c>
      <c r="R6" s="3" t="s">
        <v>35</v>
      </c>
    </row>
    <row r="7" customFormat="false" ht="23.25" hidden="false" customHeight="true" outlineLevel="0" collapsed="false">
      <c r="A7" s="3" t="s">
        <v>59</v>
      </c>
      <c r="B7" s="3" t="s">
        <v>19</v>
      </c>
      <c r="C7" s="3" t="s">
        <v>60</v>
      </c>
      <c r="D7" s="3" t="s">
        <v>56</v>
      </c>
      <c r="E7" s="3" t="s">
        <v>61</v>
      </c>
      <c r="F7" s="3" t="s">
        <v>23</v>
      </c>
      <c r="G7" s="3" t="s">
        <v>24</v>
      </c>
      <c r="H7" s="3" t="s">
        <v>25</v>
      </c>
      <c r="I7" s="3" t="s">
        <v>26</v>
      </c>
      <c r="J7" s="3" t="s">
        <v>27</v>
      </c>
      <c r="K7" s="4" t="s">
        <v>28</v>
      </c>
      <c r="L7" s="3" t="s">
        <v>62</v>
      </c>
      <c r="M7" s="6" t="s">
        <v>41</v>
      </c>
      <c r="N7" s="3" t="s">
        <v>31</v>
      </c>
      <c r="O7" s="3" t="s">
        <v>53</v>
      </c>
      <c r="P7" s="3" t="s">
        <v>33</v>
      </c>
      <c r="Q7" s="3" t="s">
        <v>34</v>
      </c>
      <c r="R7" s="3" t="s">
        <v>35</v>
      </c>
    </row>
    <row r="8" customFormat="false" ht="23.25" hidden="false" customHeight="true" outlineLevel="0" collapsed="false">
      <c r="A8" s="3" t="s">
        <v>63</v>
      </c>
      <c r="B8" s="3" t="s">
        <v>19</v>
      </c>
      <c r="C8" s="3" t="s">
        <v>64</v>
      </c>
      <c r="D8" s="3" t="s">
        <v>51</v>
      </c>
      <c r="E8" s="3" t="s">
        <v>45</v>
      </c>
      <c r="F8" s="3" t="s">
        <v>23</v>
      </c>
      <c r="G8" s="3" t="s">
        <v>45</v>
      </c>
      <c r="H8" s="3" t="s">
        <v>25</v>
      </c>
      <c r="I8" s="3" t="s">
        <v>26</v>
      </c>
      <c r="J8" s="3" t="s">
        <v>27</v>
      </c>
      <c r="K8" s="4" t="s">
        <v>28</v>
      </c>
      <c r="L8" s="3" t="s">
        <v>65</v>
      </c>
      <c r="M8" s="6" t="s">
        <v>41</v>
      </c>
      <c r="N8" s="3" t="s">
        <v>31</v>
      </c>
      <c r="O8" s="3" t="s">
        <v>53</v>
      </c>
      <c r="P8" s="3" t="s">
        <v>48</v>
      </c>
      <c r="Q8" s="3" t="s">
        <v>34</v>
      </c>
      <c r="R8" s="3" t="s">
        <v>35</v>
      </c>
    </row>
    <row r="9" customFormat="false" ht="23.25" hidden="false" customHeight="true" outlineLevel="0" collapsed="false">
      <c r="A9" s="3" t="s">
        <v>66</v>
      </c>
      <c r="B9" s="3" t="s">
        <v>19</v>
      </c>
      <c r="C9" s="3" t="s">
        <v>67</v>
      </c>
      <c r="D9" s="3" t="s">
        <v>68</v>
      </c>
      <c r="E9" s="3" t="s">
        <v>45</v>
      </c>
      <c r="F9" s="3" t="s">
        <v>23</v>
      </c>
      <c r="G9" s="3" t="s">
        <v>45</v>
      </c>
      <c r="H9" s="3" t="s">
        <v>25</v>
      </c>
      <c r="I9" s="3" t="s">
        <v>26</v>
      </c>
      <c r="J9" s="3" t="s">
        <v>27</v>
      </c>
      <c r="K9" s="4" t="s">
        <v>28</v>
      </c>
      <c r="L9" s="3" t="s">
        <v>69</v>
      </c>
      <c r="M9" s="6" t="s">
        <v>41</v>
      </c>
      <c r="N9" s="3" t="s">
        <v>31</v>
      </c>
      <c r="O9" s="3" t="s">
        <v>53</v>
      </c>
      <c r="P9" s="3" t="s">
        <v>48</v>
      </c>
      <c r="Q9" s="3" t="s">
        <v>34</v>
      </c>
      <c r="R9" s="3" t="s">
        <v>35</v>
      </c>
    </row>
    <row r="10" customFormat="false" ht="23.25" hidden="false" customHeight="true" outlineLevel="0" collapsed="false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45</v>
      </c>
      <c r="F10" s="3" t="s">
        <v>23</v>
      </c>
      <c r="G10" s="3" t="s">
        <v>45</v>
      </c>
      <c r="H10" s="3" t="s">
        <v>25</v>
      </c>
      <c r="I10" s="3" t="s">
        <v>26</v>
      </c>
      <c r="J10" s="3" t="s">
        <v>27</v>
      </c>
      <c r="K10" s="4" t="s">
        <v>28</v>
      </c>
      <c r="L10" s="3" t="s">
        <v>74</v>
      </c>
      <c r="M10" s="6" t="s">
        <v>41</v>
      </c>
      <c r="N10" s="3" t="s">
        <v>31</v>
      </c>
      <c r="O10" s="3" t="s">
        <v>32</v>
      </c>
      <c r="P10" s="3" t="s">
        <v>48</v>
      </c>
      <c r="Q10" s="3" t="s">
        <v>34</v>
      </c>
      <c r="R10" s="3" t="s">
        <v>35</v>
      </c>
    </row>
    <row r="11" customFormat="false" ht="23.25" hidden="false" customHeight="true" outlineLevel="0" collapsed="false">
      <c r="A11" s="3" t="s">
        <v>75</v>
      </c>
      <c r="B11" s="3" t="s">
        <v>71</v>
      </c>
      <c r="C11" s="3" t="s">
        <v>76</v>
      </c>
      <c r="D11" s="3" t="s">
        <v>77</v>
      </c>
      <c r="E11" s="3" t="s">
        <v>45</v>
      </c>
      <c r="F11" s="3" t="s">
        <v>23</v>
      </c>
      <c r="G11" s="3" t="s">
        <v>45</v>
      </c>
      <c r="H11" s="3" t="s">
        <v>25</v>
      </c>
      <c r="I11" s="3" t="s">
        <v>26</v>
      </c>
      <c r="J11" s="3" t="s">
        <v>27</v>
      </c>
      <c r="K11" s="4" t="s">
        <v>28</v>
      </c>
      <c r="L11" s="3" t="s">
        <v>78</v>
      </c>
      <c r="M11" s="6" t="s">
        <v>41</v>
      </c>
      <c r="N11" s="3" t="s">
        <v>31</v>
      </c>
      <c r="O11" s="3" t="s">
        <v>53</v>
      </c>
      <c r="P11" s="3" t="s">
        <v>48</v>
      </c>
      <c r="Q11" s="3" t="s">
        <v>34</v>
      </c>
      <c r="R11" s="3" t="s">
        <v>35</v>
      </c>
    </row>
    <row r="12" customFormat="false" ht="23.25" hidden="false" customHeight="true" outlineLevel="0" collapsed="false">
      <c r="A12" s="3" t="s">
        <v>79</v>
      </c>
      <c r="B12" s="3" t="s">
        <v>71</v>
      </c>
      <c r="C12" s="3" t="s">
        <v>80</v>
      </c>
      <c r="D12" s="3" t="s">
        <v>77</v>
      </c>
      <c r="E12" s="3" t="s">
        <v>81</v>
      </c>
      <c r="F12" s="3" t="s">
        <v>23</v>
      </c>
      <c r="G12" s="3" t="s">
        <v>82</v>
      </c>
      <c r="H12" s="3" t="s">
        <v>25</v>
      </c>
      <c r="I12" s="3" t="s">
        <v>26</v>
      </c>
      <c r="J12" s="3" t="s">
        <v>27</v>
      </c>
      <c r="K12" s="4" t="s">
        <v>28</v>
      </c>
      <c r="L12" s="3" t="s">
        <v>83</v>
      </c>
      <c r="M12" s="6" t="s">
        <v>41</v>
      </c>
      <c r="N12" s="3" t="s">
        <v>31</v>
      </c>
      <c r="O12" s="3" t="s">
        <v>53</v>
      </c>
      <c r="P12" s="3" t="s">
        <v>33</v>
      </c>
      <c r="Q12" s="3" t="s">
        <v>34</v>
      </c>
      <c r="R12" s="3" t="s">
        <v>35</v>
      </c>
    </row>
    <row r="13" customFormat="false" ht="23.25" hidden="false" customHeight="true" outlineLevel="0" collapsed="false">
      <c r="A13" s="3" t="s">
        <v>84</v>
      </c>
      <c r="B13" s="3" t="s">
        <v>71</v>
      </c>
      <c r="C13" s="3" t="s">
        <v>85</v>
      </c>
      <c r="D13" s="3" t="s">
        <v>77</v>
      </c>
      <c r="E13" s="3" t="s">
        <v>45</v>
      </c>
      <c r="F13" s="3" t="s">
        <v>23</v>
      </c>
      <c r="G13" s="3" t="s">
        <v>45</v>
      </c>
      <c r="H13" s="3" t="s">
        <v>25</v>
      </c>
      <c r="I13" s="3" t="s">
        <v>26</v>
      </c>
      <c r="J13" s="3" t="s">
        <v>27</v>
      </c>
      <c r="K13" s="4" t="s">
        <v>28</v>
      </c>
      <c r="L13" s="3" t="s">
        <v>86</v>
      </c>
      <c r="M13" s="6" t="s">
        <v>41</v>
      </c>
      <c r="N13" s="3" t="s">
        <v>31</v>
      </c>
      <c r="O13" s="3" t="s">
        <v>53</v>
      </c>
      <c r="P13" s="3" t="s">
        <v>48</v>
      </c>
      <c r="Q13" s="3" t="s">
        <v>34</v>
      </c>
      <c r="R13" s="3" t="s">
        <v>35</v>
      </c>
    </row>
    <row r="14" customFormat="false" ht="23.25" hidden="false" customHeight="true" outlineLevel="0" collapsed="false">
      <c r="A14" s="3" t="s">
        <v>87</v>
      </c>
      <c r="B14" s="3" t="s">
        <v>71</v>
      </c>
      <c r="C14" s="3" t="s">
        <v>88</v>
      </c>
      <c r="D14" s="3" t="s">
        <v>77</v>
      </c>
      <c r="E14" s="3" t="s">
        <v>45</v>
      </c>
      <c r="F14" s="3" t="s">
        <v>23</v>
      </c>
      <c r="G14" s="3" t="s">
        <v>45</v>
      </c>
      <c r="H14" s="3" t="s">
        <v>25</v>
      </c>
      <c r="I14" s="3" t="s">
        <v>26</v>
      </c>
      <c r="J14" s="3" t="s">
        <v>27</v>
      </c>
      <c r="K14" s="4" t="s">
        <v>28</v>
      </c>
      <c r="L14" s="3" t="s">
        <v>89</v>
      </c>
      <c r="M14" s="8" t="s">
        <v>90</v>
      </c>
      <c r="N14" s="3" t="s">
        <v>31</v>
      </c>
      <c r="O14" s="3" t="s">
        <v>53</v>
      </c>
      <c r="P14" s="3" t="s">
        <v>48</v>
      </c>
      <c r="Q14" s="3" t="s">
        <v>34</v>
      </c>
      <c r="R14" s="3" t="s">
        <v>35</v>
      </c>
    </row>
    <row r="15" customFormat="false" ht="23.25" hidden="false" customHeight="true" outlineLevel="0" collapsed="false">
      <c r="A15" s="3" t="s">
        <v>91</v>
      </c>
      <c r="B15" s="3" t="s">
        <v>71</v>
      </c>
      <c r="C15" s="3" t="s">
        <v>92</v>
      </c>
      <c r="D15" s="3" t="s">
        <v>93</v>
      </c>
      <c r="E15" s="3" t="s">
        <v>45</v>
      </c>
      <c r="F15" s="3" t="s">
        <v>23</v>
      </c>
      <c r="G15" s="3" t="s">
        <v>45</v>
      </c>
      <c r="H15" s="3" t="s">
        <v>25</v>
      </c>
      <c r="I15" s="3" t="s">
        <v>26</v>
      </c>
      <c r="J15" s="3" t="s">
        <v>27</v>
      </c>
      <c r="K15" s="4" t="s">
        <v>28</v>
      </c>
      <c r="L15" s="3" t="s">
        <v>94</v>
      </c>
      <c r="M15" s="8" t="s">
        <v>90</v>
      </c>
      <c r="N15" s="3" t="s">
        <v>31</v>
      </c>
      <c r="O15" s="3" t="s">
        <v>53</v>
      </c>
      <c r="P15" s="3" t="s">
        <v>48</v>
      </c>
      <c r="Q15" s="3" t="s">
        <v>34</v>
      </c>
      <c r="R15" s="3" t="s">
        <v>35</v>
      </c>
    </row>
    <row r="16" customFormat="false" ht="23.25" hidden="false" customHeight="true" outlineLevel="0" collapsed="false">
      <c r="A16" s="3" t="s">
        <v>95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23</v>
      </c>
      <c r="G16" s="3" t="s">
        <v>100</v>
      </c>
      <c r="H16" s="3" t="s">
        <v>25</v>
      </c>
      <c r="I16" s="3" t="s">
        <v>26</v>
      </c>
      <c r="J16" s="3" t="s">
        <v>27</v>
      </c>
      <c r="K16" s="4" t="s">
        <v>28</v>
      </c>
      <c r="L16" s="3" t="s">
        <v>101</v>
      </c>
      <c r="M16" s="6" t="s">
        <v>41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</row>
    <row r="17" customFormat="false" ht="23.25" hidden="false" customHeight="true" outlineLevel="0" collapsed="false">
      <c r="A17" s="3" t="s">
        <v>102</v>
      </c>
      <c r="B17" s="3" t="s">
        <v>96</v>
      </c>
      <c r="C17" s="3" t="s">
        <v>103</v>
      </c>
      <c r="D17" s="3" t="s">
        <v>104</v>
      </c>
      <c r="E17" s="3" t="s">
        <v>45</v>
      </c>
      <c r="F17" s="3" t="s">
        <v>23</v>
      </c>
      <c r="G17" s="3" t="s">
        <v>45</v>
      </c>
      <c r="H17" s="3" t="s">
        <v>25</v>
      </c>
      <c r="I17" s="3" t="s">
        <v>26</v>
      </c>
      <c r="J17" s="3" t="s">
        <v>27</v>
      </c>
      <c r="K17" s="4" t="s">
        <v>28</v>
      </c>
      <c r="L17" s="3" t="s">
        <v>105</v>
      </c>
      <c r="M17" s="6" t="s">
        <v>41</v>
      </c>
      <c r="N17" s="3" t="s">
        <v>31</v>
      </c>
      <c r="O17" s="3" t="s">
        <v>53</v>
      </c>
      <c r="P17" s="3" t="s">
        <v>48</v>
      </c>
      <c r="Q17" s="3" t="s">
        <v>34</v>
      </c>
      <c r="R17" s="3" t="s">
        <v>35</v>
      </c>
    </row>
    <row r="18" customFormat="false" ht="23.25" hidden="false" customHeight="true" outlineLevel="0" collapsed="false">
      <c r="A18" s="3" t="s">
        <v>106</v>
      </c>
      <c r="B18" s="3" t="s">
        <v>107</v>
      </c>
      <c r="C18" s="3" t="s">
        <v>108</v>
      </c>
      <c r="D18" s="3" t="s">
        <v>109</v>
      </c>
      <c r="E18" s="3" t="s">
        <v>45</v>
      </c>
      <c r="F18" s="3" t="s">
        <v>23</v>
      </c>
      <c r="G18" s="3" t="s">
        <v>45</v>
      </c>
      <c r="H18" s="3" t="s">
        <v>25</v>
      </c>
      <c r="I18" s="3" t="s">
        <v>26</v>
      </c>
      <c r="J18" s="3" t="s">
        <v>27</v>
      </c>
      <c r="K18" s="4" t="s">
        <v>28</v>
      </c>
      <c r="L18" s="3" t="s">
        <v>110</v>
      </c>
      <c r="M18" s="6" t="s">
        <v>41</v>
      </c>
      <c r="N18" s="3" t="s">
        <v>31</v>
      </c>
      <c r="O18" s="3" t="s">
        <v>53</v>
      </c>
      <c r="P18" s="3" t="s">
        <v>48</v>
      </c>
      <c r="Q18" s="3" t="s">
        <v>34</v>
      </c>
      <c r="R18" s="3" t="s">
        <v>35</v>
      </c>
    </row>
    <row r="19" customFormat="false" ht="23.25" hidden="false" customHeight="true" outlineLevel="0" collapsed="false">
      <c r="A19" s="3" t="s">
        <v>111</v>
      </c>
      <c r="B19" s="3" t="s">
        <v>107</v>
      </c>
      <c r="C19" s="3" t="s">
        <v>112</v>
      </c>
      <c r="D19" s="3" t="s">
        <v>113</v>
      </c>
      <c r="E19" s="3" t="s">
        <v>45</v>
      </c>
      <c r="F19" s="3" t="s">
        <v>23</v>
      </c>
      <c r="G19" s="3" t="s">
        <v>45</v>
      </c>
      <c r="H19" s="3" t="s">
        <v>25</v>
      </c>
      <c r="I19" s="3" t="s">
        <v>26</v>
      </c>
      <c r="J19" s="3" t="s">
        <v>27</v>
      </c>
      <c r="K19" s="4" t="s">
        <v>28</v>
      </c>
      <c r="L19" s="3" t="s">
        <v>114</v>
      </c>
      <c r="M19" s="6" t="s">
        <v>41</v>
      </c>
      <c r="N19" s="3" t="s">
        <v>31</v>
      </c>
      <c r="O19" s="3" t="s">
        <v>53</v>
      </c>
      <c r="P19" s="3" t="s">
        <v>48</v>
      </c>
      <c r="Q19" s="3" t="s">
        <v>34</v>
      </c>
      <c r="R19" s="3" t="s">
        <v>35</v>
      </c>
    </row>
    <row r="20" customFormat="false" ht="23.25" hidden="false" customHeight="true" outlineLevel="0" collapsed="false">
      <c r="A20" s="3" t="s">
        <v>115</v>
      </c>
      <c r="B20" s="3" t="s">
        <v>107</v>
      </c>
      <c r="C20" s="3" t="s">
        <v>116</v>
      </c>
      <c r="D20" s="3" t="s">
        <v>117</v>
      </c>
      <c r="E20" s="3" t="s">
        <v>118</v>
      </c>
      <c r="F20" s="3" t="s">
        <v>23</v>
      </c>
      <c r="G20" s="3" t="s">
        <v>119</v>
      </c>
      <c r="H20" s="3" t="s">
        <v>25</v>
      </c>
      <c r="I20" s="3" t="s">
        <v>26</v>
      </c>
      <c r="J20" s="3" t="s">
        <v>27</v>
      </c>
      <c r="K20" s="4" t="s">
        <v>28</v>
      </c>
      <c r="L20" s="3" t="s">
        <v>120</v>
      </c>
      <c r="M20" s="6" t="s">
        <v>41</v>
      </c>
      <c r="N20" s="3" t="s">
        <v>31</v>
      </c>
      <c r="O20" s="3" t="s">
        <v>53</v>
      </c>
      <c r="P20" s="3" t="s">
        <v>33</v>
      </c>
      <c r="Q20" s="3" t="s">
        <v>34</v>
      </c>
      <c r="R20" s="3" t="s">
        <v>35</v>
      </c>
    </row>
    <row r="21" customFormat="false" ht="23.25" hidden="false" customHeight="true" outlineLevel="0" collapsed="false">
      <c r="A21" s="3" t="s">
        <v>121</v>
      </c>
      <c r="B21" s="3" t="s">
        <v>107</v>
      </c>
      <c r="C21" s="3" t="s">
        <v>122</v>
      </c>
      <c r="D21" s="3" t="s">
        <v>123</v>
      </c>
      <c r="E21" s="3" t="s">
        <v>45</v>
      </c>
      <c r="F21" s="3" t="s">
        <v>23</v>
      </c>
      <c r="G21" s="3" t="s">
        <v>45</v>
      </c>
      <c r="H21" s="3" t="s">
        <v>25</v>
      </c>
      <c r="I21" s="3" t="s">
        <v>26</v>
      </c>
      <c r="J21" s="3" t="s">
        <v>27</v>
      </c>
      <c r="K21" s="4" t="s">
        <v>28</v>
      </c>
      <c r="L21" s="3" t="s">
        <v>124</v>
      </c>
      <c r="M21" s="8" t="s">
        <v>90</v>
      </c>
      <c r="N21" s="3" t="s">
        <v>31</v>
      </c>
      <c r="O21" s="3" t="s">
        <v>53</v>
      </c>
      <c r="P21" s="3" t="s">
        <v>48</v>
      </c>
      <c r="Q21" s="3" t="s">
        <v>34</v>
      </c>
      <c r="R21" s="3" t="s">
        <v>35</v>
      </c>
    </row>
    <row r="22" customFormat="false" ht="23.25" hidden="false" customHeight="true" outlineLevel="0" collapsed="false">
      <c r="A22" s="3" t="s">
        <v>125</v>
      </c>
      <c r="B22" s="3" t="s">
        <v>107</v>
      </c>
      <c r="C22" s="3" t="s">
        <v>126</v>
      </c>
      <c r="D22" s="3" t="s">
        <v>117</v>
      </c>
      <c r="E22" s="3" t="s">
        <v>127</v>
      </c>
      <c r="F22" s="3" t="s">
        <v>23</v>
      </c>
      <c r="G22" s="3" t="s">
        <v>128</v>
      </c>
      <c r="H22" s="3" t="s">
        <v>25</v>
      </c>
      <c r="I22" s="3" t="s">
        <v>26</v>
      </c>
      <c r="J22" s="3" t="s">
        <v>27</v>
      </c>
      <c r="K22" s="4" t="s">
        <v>28</v>
      </c>
      <c r="L22" s="3" t="s">
        <v>129</v>
      </c>
      <c r="M22" s="6" t="s">
        <v>41</v>
      </c>
      <c r="N22" s="3" t="s">
        <v>31</v>
      </c>
      <c r="O22" s="3" t="s">
        <v>53</v>
      </c>
      <c r="P22" s="3" t="s">
        <v>33</v>
      </c>
      <c r="Q22" s="3" t="s">
        <v>34</v>
      </c>
      <c r="R22" s="3" t="s">
        <v>35</v>
      </c>
    </row>
    <row r="23" customFormat="false" ht="23.25" hidden="false" customHeight="true" outlineLevel="0" collapsed="false">
      <c r="A23" s="3" t="s">
        <v>130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23</v>
      </c>
      <c r="G23" s="3" t="s">
        <v>135</v>
      </c>
      <c r="H23" s="3" t="s">
        <v>25</v>
      </c>
      <c r="I23" s="3" t="s">
        <v>26</v>
      </c>
      <c r="J23" s="3" t="s">
        <v>27</v>
      </c>
      <c r="K23" s="4" t="s">
        <v>28</v>
      </c>
      <c r="L23" s="3" t="s">
        <v>136</v>
      </c>
      <c r="M23" s="5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customFormat="false" ht="23.25" hidden="false" customHeight="true" outlineLevel="0" collapsed="false">
      <c r="A24" s="3" t="s">
        <v>137</v>
      </c>
      <c r="B24" s="3" t="s">
        <v>131</v>
      </c>
      <c r="C24" s="3" t="s">
        <v>138</v>
      </c>
      <c r="D24" s="3" t="s">
        <v>139</v>
      </c>
      <c r="E24" s="3" t="s">
        <v>140</v>
      </c>
      <c r="F24" s="3" t="s">
        <v>23</v>
      </c>
      <c r="G24" s="3" t="s">
        <v>135</v>
      </c>
      <c r="H24" s="3" t="s">
        <v>25</v>
      </c>
      <c r="I24" s="3" t="s">
        <v>26</v>
      </c>
      <c r="J24" s="3" t="s">
        <v>27</v>
      </c>
      <c r="K24" s="4" t="s">
        <v>28</v>
      </c>
      <c r="L24" s="3" t="s">
        <v>141</v>
      </c>
      <c r="M24" s="5" t="s">
        <v>30</v>
      </c>
      <c r="N24" s="3" t="s">
        <v>31</v>
      </c>
      <c r="O24" s="3" t="s">
        <v>53</v>
      </c>
      <c r="P24" s="3" t="s">
        <v>33</v>
      </c>
      <c r="Q24" s="3" t="s">
        <v>34</v>
      </c>
      <c r="R24" s="3" t="s">
        <v>35</v>
      </c>
    </row>
    <row r="25" customFormat="false" ht="23.25" hidden="false" customHeight="true" outlineLevel="0" collapsed="false">
      <c r="A25" s="3" t="s">
        <v>142</v>
      </c>
      <c r="B25" s="3" t="s">
        <v>131</v>
      </c>
      <c r="C25" s="3" t="s">
        <v>143</v>
      </c>
      <c r="D25" s="3" t="s">
        <v>139</v>
      </c>
      <c r="E25" s="3" t="s">
        <v>144</v>
      </c>
      <c r="F25" s="3" t="s">
        <v>23</v>
      </c>
      <c r="G25" s="3" t="s">
        <v>145</v>
      </c>
      <c r="H25" s="3" t="s">
        <v>25</v>
      </c>
      <c r="I25" s="3" t="s">
        <v>26</v>
      </c>
      <c r="J25" s="3" t="s">
        <v>27</v>
      </c>
      <c r="K25" s="4" t="s">
        <v>28</v>
      </c>
      <c r="L25" s="3" t="s">
        <v>146</v>
      </c>
      <c r="M25" s="5" t="s">
        <v>30</v>
      </c>
      <c r="N25" s="3" t="s">
        <v>31</v>
      </c>
      <c r="O25" s="3" t="s">
        <v>53</v>
      </c>
      <c r="P25" s="3" t="s">
        <v>33</v>
      </c>
      <c r="Q25" s="3" t="s">
        <v>34</v>
      </c>
      <c r="R25" s="3" t="s">
        <v>35</v>
      </c>
    </row>
    <row r="26" customFormat="false" ht="23.25" hidden="false" customHeight="true" outlineLevel="0" collapsed="false">
      <c r="A26" s="3" t="s">
        <v>147</v>
      </c>
      <c r="B26" s="3" t="s">
        <v>131</v>
      </c>
      <c r="C26" s="3" t="s">
        <v>148</v>
      </c>
      <c r="D26" s="3" t="s">
        <v>149</v>
      </c>
      <c r="E26" s="3" t="s">
        <v>150</v>
      </c>
      <c r="F26" s="3" t="s">
        <v>23</v>
      </c>
      <c r="G26" s="3" t="s">
        <v>151</v>
      </c>
      <c r="H26" s="3" t="s">
        <v>25</v>
      </c>
      <c r="I26" s="3" t="s">
        <v>26</v>
      </c>
      <c r="J26" s="3" t="s">
        <v>27</v>
      </c>
      <c r="K26" s="4" t="s">
        <v>28</v>
      </c>
      <c r="L26" s="3" t="s">
        <v>152</v>
      </c>
      <c r="M26" s="5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customFormat="false" ht="23.25" hidden="false" customHeight="true" outlineLevel="0" collapsed="false">
      <c r="A27" s="3" t="s">
        <v>153</v>
      </c>
      <c r="B27" s="3" t="s">
        <v>131</v>
      </c>
      <c r="C27" s="3" t="s">
        <v>154</v>
      </c>
      <c r="D27" s="3" t="s">
        <v>155</v>
      </c>
      <c r="E27" s="3" t="s">
        <v>156</v>
      </c>
      <c r="F27" s="3" t="s">
        <v>23</v>
      </c>
      <c r="G27" s="3" t="s">
        <v>157</v>
      </c>
      <c r="H27" s="3" t="s">
        <v>25</v>
      </c>
      <c r="I27" s="3" t="s">
        <v>26</v>
      </c>
      <c r="J27" s="3" t="s">
        <v>27</v>
      </c>
      <c r="K27" s="4" t="s">
        <v>28</v>
      </c>
      <c r="L27" s="3" t="s">
        <v>158</v>
      </c>
      <c r="M27" s="8" t="s">
        <v>90</v>
      </c>
      <c r="N27" s="3" t="s">
        <v>31</v>
      </c>
      <c r="O27" s="3" t="s">
        <v>53</v>
      </c>
      <c r="P27" s="3" t="s">
        <v>33</v>
      </c>
      <c r="Q27" s="3" t="s">
        <v>34</v>
      </c>
      <c r="R27" s="3" t="s">
        <v>35</v>
      </c>
    </row>
    <row r="28" customFormat="false" ht="23.25" hidden="false" customHeight="true" outlineLevel="0" collapsed="false">
      <c r="A28" s="3" t="s">
        <v>159</v>
      </c>
      <c r="B28" s="3" t="s">
        <v>131</v>
      </c>
      <c r="C28" s="3" t="s">
        <v>160</v>
      </c>
      <c r="D28" s="3" t="s">
        <v>161</v>
      </c>
      <c r="E28" s="3" t="s">
        <v>162</v>
      </c>
      <c r="F28" s="3" t="s">
        <v>23</v>
      </c>
      <c r="G28" s="3" t="s">
        <v>163</v>
      </c>
      <c r="H28" s="3" t="s">
        <v>25</v>
      </c>
      <c r="I28" s="3" t="s">
        <v>26</v>
      </c>
      <c r="J28" s="3" t="s">
        <v>27</v>
      </c>
      <c r="K28" s="4" t="s">
        <v>28</v>
      </c>
      <c r="L28" s="3" t="s">
        <v>164</v>
      </c>
      <c r="M28" s="8" t="s">
        <v>90</v>
      </c>
      <c r="N28" s="3" t="s">
        <v>31</v>
      </c>
      <c r="O28" s="3" t="s">
        <v>53</v>
      </c>
      <c r="P28" s="3" t="s">
        <v>33</v>
      </c>
      <c r="Q28" s="3" t="s">
        <v>34</v>
      </c>
      <c r="R28" s="3" t="s">
        <v>35</v>
      </c>
    </row>
    <row r="29" customFormat="false" ht="23.25" hidden="false" customHeight="true" outlineLevel="0" collapsed="false">
      <c r="A29" s="3" t="s">
        <v>165</v>
      </c>
      <c r="B29" s="3" t="s">
        <v>166</v>
      </c>
      <c r="C29" s="3" t="s">
        <v>167</v>
      </c>
      <c r="D29" s="3" t="s">
        <v>168</v>
      </c>
      <c r="E29" s="3" t="s">
        <v>169</v>
      </c>
      <c r="F29" s="3" t="s">
        <v>23</v>
      </c>
      <c r="G29" s="3" t="s">
        <v>170</v>
      </c>
      <c r="H29" s="3" t="s">
        <v>25</v>
      </c>
      <c r="I29" s="3" t="s">
        <v>26</v>
      </c>
      <c r="J29" s="3" t="s">
        <v>27</v>
      </c>
      <c r="K29" s="4" t="s">
        <v>28</v>
      </c>
      <c r="L29" s="3" t="s">
        <v>171</v>
      </c>
      <c r="M29" s="6" t="s">
        <v>41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customFormat="false" ht="23.25" hidden="false" customHeight="true" outlineLevel="0" collapsed="false">
      <c r="A30" s="3" t="s">
        <v>172</v>
      </c>
      <c r="B30" s="3" t="s">
        <v>166</v>
      </c>
      <c r="C30" s="3" t="s">
        <v>173</v>
      </c>
      <c r="D30" s="3" t="s">
        <v>174</v>
      </c>
      <c r="E30" s="3" t="s">
        <v>45</v>
      </c>
      <c r="F30" s="3" t="s">
        <v>23</v>
      </c>
      <c r="G30" s="3" t="s">
        <v>175</v>
      </c>
      <c r="H30" s="3" t="s">
        <v>25</v>
      </c>
      <c r="I30" s="3" t="s">
        <v>26</v>
      </c>
      <c r="J30" s="3" t="s">
        <v>27</v>
      </c>
      <c r="K30" s="4" t="s">
        <v>28</v>
      </c>
      <c r="L30" s="3" t="s">
        <v>176</v>
      </c>
      <c r="M30" s="8" t="s">
        <v>90</v>
      </c>
      <c r="N30" s="3" t="s">
        <v>31</v>
      </c>
      <c r="O30" s="3" t="s">
        <v>53</v>
      </c>
      <c r="P30" s="3" t="s">
        <v>33</v>
      </c>
      <c r="Q30" s="3" t="s">
        <v>34</v>
      </c>
      <c r="R30" s="3" t="s">
        <v>35</v>
      </c>
    </row>
    <row r="31" customFormat="false" ht="34.5" hidden="false" customHeight="true" outlineLevel="0" collapsed="false">
      <c r="A31" s="3" t="s">
        <v>177</v>
      </c>
      <c r="B31" s="3" t="s">
        <v>178</v>
      </c>
      <c r="C31" s="3" t="s">
        <v>179</v>
      </c>
      <c r="D31" s="3" t="s">
        <v>180</v>
      </c>
      <c r="E31" s="3" t="s">
        <v>181</v>
      </c>
      <c r="F31" s="3" t="s">
        <v>23</v>
      </c>
      <c r="G31" s="3" t="s">
        <v>182</v>
      </c>
      <c r="H31" s="3" t="s">
        <v>25</v>
      </c>
      <c r="I31" s="3" t="s">
        <v>26</v>
      </c>
      <c r="J31" s="3" t="s">
        <v>27</v>
      </c>
      <c r="K31" s="4" t="s">
        <v>28</v>
      </c>
      <c r="L31" s="3" t="s">
        <v>183</v>
      </c>
      <c r="M31" s="6" t="s">
        <v>41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35</v>
      </c>
    </row>
    <row r="32" customFormat="false" ht="23.25" hidden="false" customHeight="true" outlineLevel="0" collapsed="false">
      <c r="A32" s="3" t="s">
        <v>184</v>
      </c>
      <c r="B32" s="3" t="s">
        <v>178</v>
      </c>
      <c r="C32" s="3" t="s">
        <v>185</v>
      </c>
      <c r="D32" s="3" t="s">
        <v>186</v>
      </c>
      <c r="E32" s="3" t="s">
        <v>187</v>
      </c>
      <c r="F32" s="3" t="s">
        <v>23</v>
      </c>
      <c r="G32" s="3" t="s">
        <v>182</v>
      </c>
      <c r="H32" s="3" t="s">
        <v>25</v>
      </c>
      <c r="I32" s="3" t="s">
        <v>26</v>
      </c>
      <c r="J32" s="3" t="s">
        <v>27</v>
      </c>
      <c r="K32" s="4" t="s">
        <v>28</v>
      </c>
      <c r="L32" s="3" t="s">
        <v>188</v>
      </c>
      <c r="M32" s="6" t="s">
        <v>41</v>
      </c>
      <c r="N32" s="3" t="s">
        <v>31</v>
      </c>
      <c r="O32" s="3" t="s">
        <v>53</v>
      </c>
      <c r="P32" s="3" t="s">
        <v>33</v>
      </c>
      <c r="Q32" s="3" t="s">
        <v>34</v>
      </c>
      <c r="R32" s="3" t="s">
        <v>35</v>
      </c>
    </row>
    <row r="33" customFormat="false" ht="23.25" hidden="false" customHeight="true" outlineLevel="0" collapsed="false">
      <c r="A33" s="3" t="s">
        <v>189</v>
      </c>
      <c r="B33" s="3" t="s">
        <v>190</v>
      </c>
      <c r="C33" s="3" t="s">
        <v>191</v>
      </c>
      <c r="D33" s="3" t="s">
        <v>192</v>
      </c>
      <c r="E33" s="3" t="s">
        <v>45</v>
      </c>
      <c r="F33" s="3" t="s">
        <v>23</v>
      </c>
      <c r="G33" s="3" t="s">
        <v>193</v>
      </c>
      <c r="H33" s="3" t="s">
        <v>25</v>
      </c>
      <c r="I33" s="3" t="s">
        <v>26</v>
      </c>
      <c r="J33" s="3" t="s">
        <v>27</v>
      </c>
      <c r="K33" s="4" t="s">
        <v>28</v>
      </c>
      <c r="L33" s="3" t="s">
        <v>194</v>
      </c>
      <c r="M33" s="8" t="s">
        <v>90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35</v>
      </c>
    </row>
    <row r="34" customFormat="false" ht="23.25" hidden="false" customHeight="true" outlineLevel="0" collapsed="false">
      <c r="A34" s="3" t="s">
        <v>195</v>
      </c>
      <c r="B34" s="3" t="s">
        <v>196</v>
      </c>
      <c r="C34" s="3" t="s">
        <v>197</v>
      </c>
      <c r="D34" s="3" t="s">
        <v>198</v>
      </c>
      <c r="E34" s="3" t="s">
        <v>199</v>
      </c>
      <c r="F34" s="3" t="s">
        <v>23</v>
      </c>
      <c r="G34" s="3" t="s">
        <v>45</v>
      </c>
      <c r="H34" s="3" t="s">
        <v>25</v>
      </c>
      <c r="I34" s="3" t="s">
        <v>26</v>
      </c>
      <c r="J34" s="3" t="s">
        <v>27</v>
      </c>
      <c r="K34" s="4" t="s">
        <v>28</v>
      </c>
      <c r="L34" s="3" t="s">
        <v>200</v>
      </c>
      <c r="M34" s="5" t="s">
        <v>30</v>
      </c>
      <c r="N34" s="3" t="s">
        <v>31</v>
      </c>
      <c r="O34" s="3" t="s">
        <v>32</v>
      </c>
      <c r="P34" s="3" t="s">
        <v>48</v>
      </c>
      <c r="Q34" s="3" t="s">
        <v>34</v>
      </c>
      <c r="R34" s="3" t="s">
        <v>35</v>
      </c>
    </row>
    <row r="35" customFormat="false" ht="23.25" hidden="false" customHeight="true" outlineLevel="0" collapsed="false">
      <c r="A35" s="3" t="s">
        <v>201</v>
      </c>
      <c r="B35" s="3" t="s">
        <v>196</v>
      </c>
      <c r="C35" s="3" t="s">
        <v>202</v>
      </c>
      <c r="D35" s="3" t="s">
        <v>203</v>
      </c>
      <c r="E35" s="3" t="s">
        <v>204</v>
      </c>
      <c r="F35" s="3" t="s">
        <v>23</v>
      </c>
      <c r="G35" s="3" t="s">
        <v>205</v>
      </c>
      <c r="H35" s="3" t="s">
        <v>25</v>
      </c>
      <c r="I35" s="3" t="s">
        <v>26</v>
      </c>
      <c r="J35" s="3" t="s">
        <v>27</v>
      </c>
      <c r="K35" s="4" t="s">
        <v>28</v>
      </c>
      <c r="L35" s="3" t="s">
        <v>206</v>
      </c>
      <c r="M35" s="6" t="s">
        <v>41</v>
      </c>
      <c r="N35" s="3" t="s">
        <v>31</v>
      </c>
      <c r="O35" s="3" t="s">
        <v>53</v>
      </c>
      <c r="P35" s="3" t="s">
        <v>33</v>
      </c>
      <c r="Q35" s="3" t="s">
        <v>34</v>
      </c>
      <c r="R35" s="3" t="s">
        <v>35</v>
      </c>
    </row>
    <row r="36" customFormat="false" ht="23.25" hidden="false" customHeight="true" outlineLevel="0" collapsed="false">
      <c r="A36" s="3" t="s">
        <v>207</v>
      </c>
      <c r="B36" s="3" t="s">
        <v>208</v>
      </c>
      <c r="C36" s="3" t="s">
        <v>209</v>
      </c>
      <c r="D36" s="3" t="s">
        <v>210</v>
      </c>
      <c r="E36" s="3" t="s">
        <v>45</v>
      </c>
      <c r="F36" s="3" t="s">
        <v>23</v>
      </c>
      <c r="G36" s="3" t="s">
        <v>45</v>
      </c>
      <c r="H36" s="3" t="s">
        <v>25</v>
      </c>
      <c r="I36" s="3" t="s">
        <v>26</v>
      </c>
      <c r="J36" s="3" t="s">
        <v>27</v>
      </c>
      <c r="K36" s="4" t="s">
        <v>28</v>
      </c>
      <c r="L36" s="3" t="s">
        <v>211</v>
      </c>
      <c r="M36" s="6" t="s">
        <v>41</v>
      </c>
      <c r="N36" s="3" t="s">
        <v>31</v>
      </c>
      <c r="O36" s="3" t="s">
        <v>32</v>
      </c>
      <c r="P36" s="3" t="s">
        <v>48</v>
      </c>
      <c r="Q36" s="3" t="s">
        <v>34</v>
      </c>
      <c r="R36" s="3" t="s">
        <v>35</v>
      </c>
    </row>
    <row r="37" customFormat="false" ht="23.25" hidden="false" customHeight="true" outlineLevel="0" collapsed="false">
      <c r="A37" s="3" t="s">
        <v>212</v>
      </c>
      <c r="B37" s="3" t="s">
        <v>208</v>
      </c>
      <c r="C37" s="3" t="s">
        <v>213</v>
      </c>
      <c r="D37" s="3" t="s">
        <v>214</v>
      </c>
      <c r="E37" s="3" t="s">
        <v>215</v>
      </c>
      <c r="F37" s="3" t="s">
        <v>23</v>
      </c>
      <c r="G37" s="3" t="s">
        <v>216</v>
      </c>
      <c r="H37" s="3" t="s">
        <v>25</v>
      </c>
      <c r="I37" s="3" t="s">
        <v>26</v>
      </c>
      <c r="J37" s="3" t="s">
        <v>27</v>
      </c>
      <c r="K37" s="4" t="s">
        <v>28</v>
      </c>
      <c r="L37" s="3" t="s">
        <v>217</v>
      </c>
      <c r="M37" s="8" t="s">
        <v>90</v>
      </c>
      <c r="N37" s="3" t="s">
        <v>31</v>
      </c>
      <c r="O37" s="3" t="s">
        <v>53</v>
      </c>
      <c r="P37" s="3" t="s">
        <v>33</v>
      </c>
      <c r="Q37" s="3" t="s">
        <v>34</v>
      </c>
      <c r="R37" s="3" t="s">
        <v>35</v>
      </c>
    </row>
    <row r="38" customFormat="false" ht="23.25" hidden="false" customHeight="true" outlineLevel="0" collapsed="false">
      <c r="A38" s="3" t="s">
        <v>218</v>
      </c>
      <c r="B38" s="3" t="s">
        <v>219</v>
      </c>
      <c r="C38" s="3" t="s">
        <v>220</v>
      </c>
      <c r="D38" s="3" t="s">
        <v>221</v>
      </c>
      <c r="E38" s="3" t="s">
        <v>222</v>
      </c>
      <c r="F38" s="3" t="s">
        <v>23</v>
      </c>
      <c r="G38" s="3" t="s">
        <v>223</v>
      </c>
      <c r="H38" s="3" t="s">
        <v>25</v>
      </c>
      <c r="I38" s="3" t="s">
        <v>26</v>
      </c>
      <c r="J38" s="3" t="s">
        <v>27</v>
      </c>
      <c r="K38" s="4" t="s">
        <v>28</v>
      </c>
      <c r="L38" s="3" t="s">
        <v>224</v>
      </c>
      <c r="M38" s="8" t="s">
        <v>90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35</v>
      </c>
    </row>
    <row r="39" customFormat="false" ht="23.25" hidden="false" customHeight="true" outlineLevel="0" collapsed="false">
      <c r="A39" s="3" t="s">
        <v>225</v>
      </c>
      <c r="B39" s="3" t="s">
        <v>226</v>
      </c>
      <c r="C39" s="3" t="s">
        <v>227</v>
      </c>
      <c r="D39" s="3" t="s">
        <v>228</v>
      </c>
      <c r="E39" s="3" t="s">
        <v>45</v>
      </c>
      <c r="F39" s="3" t="s">
        <v>23</v>
      </c>
      <c r="G39" s="3" t="s">
        <v>45</v>
      </c>
      <c r="H39" s="3" t="s">
        <v>25</v>
      </c>
      <c r="I39" s="3" t="s">
        <v>26</v>
      </c>
      <c r="J39" s="3" t="s">
        <v>27</v>
      </c>
      <c r="K39" s="4" t="s">
        <v>28</v>
      </c>
      <c r="L39" s="3" t="s">
        <v>229</v>
      </c>
      <c r="M39" s="5" t="s">
        <v>30</v>
      </c>
      <c r="N39" s="3" t="s">
        <v>31</v>
      </c>
      <c r="O39" s="3" t="s">
        <v>32</v>
      </c>
      <c r="P39" s="3" t="s">
        <v>48</v>
      </c>
      <c r="Q39" s="3" t="s">
        <v>34</v>
      </c>
      <c r="R39" s="3" t="s">
        <v>35</v>
      </c>
    </row>
    <row r="40" customFormat="false" ht="23.25" hidden="false" customHeight="true" outlineLevel="0" collapsed="false">
      <c r="A40" s="3" t="s">
        <v>230</v>
      </c>
      <c r="B40" s="3" t="s">
        <v>226</v>
      </c>
      <c r="C40" s="3" t="s">
        <v>231</v>
      </c>
      <c r="D40" s="3" t="s">
        <v>232</v>
      </c>
      <c r="E40" s="3" t="s">
        <v>233</v>
      </c>
      <c r="F40" s="3" t="s">
        <v>23</v>
      </c>
      <c r="G40" s="3" t="s">
        <v>234</v>
      </c>
      <c r="H40" s="3" t="s">
        <v>25</v>
      </c>
      <c r="I40" s="3" t="s">
        <v>26</v>
      </c>
      <c r="J40" s="3" t="s">
        <v>27</v>
      </c>
      <c r="K40" s="4" t="s">
        <v>28</v>
      </c>
      <c r="L40" s="3" t="s">
        <v>235</v>
      </c>
      <c r="M40" s="6" t="s">
        <v>41</v>
      </c>
      <c r="N40" s="3" t="s">
        <v>31</v>
      </c>
      <c r="O40" s="3" t="s">
        <v>53</v>
      </c>
      <c r="P40" s="3" t="s">
        <v>33</v>
      </c>
      <c r="Q40" s="3" t="s">
        <v>34</v>
      </c>
      <c r="R40" s="3" t="s">
        <v>35</v>
      </c>
    </row>
    <row r="41" customFormat="false" ht="23.25" hidden="false" customHeight="true" outlineLevel="0" collapsed="false">
      <c r="A41" s="3" t="s">
        <v>236</v>
      </c>
      <c r="B41" s="3" t="s">
        <v>226</v>
      </c>
      <c r="C41" s="3" t="s">
        <v>237</v>
      </c>
      <c r="D41" s="3" t="s">
        <v>238</v>
      </c>
      <c r="E41" s="3" t="s">
        <v>45</v>
      </c>
      <c r="F41" s="3" t="s">
        <v>23</v>
      </c>
      <c r="G41" s="3" t="s">
        <v>45</v>
      </c>
      <c r="H41" s="3" t="s">
        <v>25</v>
      </c>
      <c r="I41" s="3" t="s">
        <v>26</v>
      </c>
      <c r="J41" s="3" t="s">
        <v>27</v>
      </c>
      <c r="K41" s="4" t="s">
        <v>28</v>
      </c>
      <c r="L41" s="3" t="s">
        <v>239</v>
      </c>
      <c r="M41" s="6" t="s">
        <v>41</v>
      </c>
      <c r="N41" s="3" t="s">
        <v>31</v>
      </c>
      <c r="O41" s="3" t="s">
        <v>53</v>
      </c>
      <c r="P41" s="3" t="s">
        <v>48</v>
      </c>
      <c r="Q41" s="3" t="s">
        <v>34</v>
      </c>
      <c r="R41" s="3" t="s">
        <v>35</v>
      </c>
    </row>
    <row r="42" customFormat="false" ht="23.25" hidden="false" customHeight="true" outlineLevel="0" collapsed="false">
      <c r="A42" s="3" t="s">
        <v>240</v>
      </c>
      <c r="B42" s="3" t="s">
        <v>241</v>
      </c>
      <c r="C42" s="3" t="s">
        <v>242</v>
      </c>
      <c r="D42" s="3" t="s">
        <v>243</v>
      </c>
      <c r="E42" s="3" t="s">
        <v>244</v>
      </c>
      <c r="F42" s="3" t="s">
        <v>23</v>
      </c>
      <c r="G42" s="3" t="s">
        <v>245</v>
      </c>
      <c r="H42" s="3" t="s">
        <v>25</v>
      </c>
      <c r="I42" s="3" t="s">
        <v>26</v>
      </c>
      <c r="J42" s="3" t="s">
        <v>27</v>
      </c>
      <c r="K42" s="4" t="s">
        <v>28</v>
      </c>
      <c r="L42" s="3" t="s">
        <v>246</v>
      </c>
      <c r="M42" s="6" t="s">
        <v>41</v>
      </c>
      <c r="N42" s="3" t="s">
        <v>31</v>
      </c>
      <c r="O42" s="3" t="s">
        <v>53</v>
      </c>
      <c r="P42" s="3" t="s">
        <v>33</v>
      </c>
      <c r="Q42" s="3" t="s">
        <v>34</v>
      </c>
      <c r="R42" s="3" t="s">
        <v>35</v>
      </c>
    </row>
    <row r="43" customFormat="false" ht="23.25" hidden="false" customHeight="true" outlineLevel="0" collapsed="false">
      <c r="A43" s="3" t="s">
        <v>247</v>
      </c>
      <c r="B43" s="3" t="s">
        <v>248</v>
      </c>
      <c r="C43" s="3" t="s">
        <v>249</v>
      </c>
      <c r="D43" s="3" t="s">
        <v>250</v>
      </c>
      <c r="E43" s="3" t="s">
        <v>251</v>
      </c>
      <c r="F43" s="3" t="s">
        <v>23</v>
      </c>
      <c r="G43" s="3" t="s">
        <v>252</v>
      </c>
      <c r="H43" s="3" t="s">
        <v>25</v>
      </c>
      <c r="I43" s="3" t="s">
        <v>26</v>
      </c>
      <c r="J43" s="3" t="s">
        <v>27</v>
      </c>
      <c r="K43" s="4" t="s">
        <v>28</v>
      </c>
      <c r="L43" s="3" t="s">
        <v>253</v>
      </c>
      <c r="M43" s="5" t="s">
        <v>30</v>
      </c>
      <c r="N43" s="3" t="s">
        <v>31</v>
      </c>
      <c r="O43" s="3" t="s">
        <v>53</v>
      </c>
      <c r="P43" s="3" t="s">
        <v>33</v>
      </c>
      <c r="Q43" s="3" t="s">
        <v>34</v>
      </c>
      <c r="R43" s="3" t="s">
        <v>35</v>
      </c>
    </row>
    <row r="44" customFormat="false" ht="23.25" hidden="false" customHeight="true" outlineLevel="0" collapsed="false">
      <c r="A44" s="3" t="s">
        <v>254</v>
      </c>
      <c r="B44" s="3" t="s">
        <v>255</v>
      </c>
      <c r="C44" s="3" t="s">
        <v>256</v>
      </c>
      <c r="D44" s="3" t="s">
        <v>257</v>
      </c>
      <c r="E44" s="3" t="s">
        <v>258</v>
      </c>
      <c r="F44" s="3" t="s">
        <v>23</v>
      </c>
      <c r="G44" s="3" t="s">
        <v>259</v>
      </c>
      <c r="H44" s="3" t="s">
        <v>25</v>
      </c>
      <c r="I44" s="3" t="s">
        <v>26</v>
      </c>
      <c r="J44" s="3" t="s">
        <v>27</v>
      </c>
      <c r="K44" s="4" t="s">
        <v>28</v>
      </c>
      <c r="L44" s="3" t="s">
        <v>260</v>
      </c>
      <c r="M44" s="6" t="s">
        <v>41</v>
      </c>
      <c r="N44" s="3" t="s">
        <v>31</v>
      </c>
      <c r="O44" s="3" t="s">
        <v>53</v>
      </c>
      <c r="P44" s="3" t="s">
        <v>33</v>
      </c>
      <c r="Q44" s="3" t="s">
        <v>34</v>
      </c>
      <c r="R44" s="3" t="s">
        <v>35</v>
      </c>
    </row>
    <row r="45" customFormat="false" ht="23.25" hidden="false" customHeight="true" outlineLevel="0" collapsed="false">
      <c r="A45" s="3" t="s">
        <v>261</v>
      </c>
      <c r="B45" s="3" t="s">
        <v>262</v>
      </c>
      <c r="C45" s="3" t="s">
        <v>263</v>
      </c>
      <c r="D45" s="3" t="s">
        <v>264</v>
      </c>
      <c r="E45" s="3" t="s">
        <v>265</v>
      </c>
      <c r="F45" s="3" t="s">
        <v>23</v>
      </c>
      <c r="G45" s="3" t="s">
        <v>266</v>
      </c>
      <c r="H45" s="3" t="s">
        <v>25</v>
      </c>
      <c r="I45" s="3" t="s">
        <v>26</v>
      </c>
      <c r="J45" s="3" t="s">
        <v>27</v>
      </c>
      <c r="K45" s="4" t="s">
        <v>28</v>
      </c>
      <c r="L45" s="3" t="s">
        <v>267</v>
      </c>
      <c r="M45" s="8" t="s">
        <v>90</v>
      </c>
      <c r="N45" s="3" t="s">
        <v>31</v>
      </c>
      <c r="O45" s="3" t="s">
        <v>53</v>
      </c>
      <c r="P45" s="3" t="s">
        <v>33</v>
      </c>
      <c r="Q45" s="3" t="s">
        <v>34</v>
      </c>
      <c r="R45" s="3" t="s">
        <v>35</v>
      </c>
    </row>
    <row r="46" customFormat="false" ht="23.25" hidden="false" customHeight="true" outlineLevel="0" collapsed="false">
      <c r="A46" s="3" t="s">
        <v>268</v>
      </c>
      <c r="B46" s="3" t="s">
        <v>269</v>
      </c>
      <c r="C46" s="3" t="s">
        <v>270</v>
      </c>
      <c r="D46" s="3" t="s">
        <v>271</v>
      </c>
      <c r="E46" s="3" t="s">
        <v>45</v>
      </c>
      <c r="F46" s="3" t="s">
        <v>23</v>
      </c>
      <c r="G46" s="3" t="s">
        <v>45</v>
      </c>
      <c r="H46" s="3" t="s">
        <v>25</v>
      </c>
      <c r="I46" s="3" t="s">
        <v>26</v>
      </c>
      <c r="J46" s="3" t="s">
        <v>27</v>
      </c>
      <c r="K46" s="4" t="s">
        <v>28</v>
      </c>
      <c r="L46" s="3" t="s">
        <v>272</v>
      </c>
      <c r="M46" s="5" t="s">
        <v>30</v>
      </c>
      <c r="N46" s="3" t="s">
        <v>31</v>
      </c>
      <c r="O46" s="3" t="s">
        <v>32</v>
      </c>
      <c r="P46" s="3" t="s">
        <v>48</v>
      </c>
      <c r="Q46" s="3" t="s">
        <v>34</v>
      </c>
      <c r="R46" s="3" t="s">
        <v>35</v>
      </c>
    </row>
    <row r="47" customFormat="false" ht="23.25" hidden="false" customHeight="true" outlineLevel="0" collapsed="false">
      <c r="A47" s="3" t="s">
        <v>273</v>
      </c>
      <c r="B47" s="3" t="s">
        <v>269</v>
      </c>
      <c r="C47" s="3" t="s">
        <v>274</v>
      </c>
      <c r="D47" s="3" t="s">
        <v>275</v>
      </c>
      <c r="E47" s="3" t="s">
        <v>45</v>
      </c>
      <c r="F47" s="3" t="s">
        <v>23</v>
      </c>
      <c r="G47" s="3" t="s">
        <v>45</v>
      </c>
      <c r="H47" s="3" t="s">
        <v>25</v>
      </c>
      <c r="I47" s="3" t="s">
        <v>26</v>
      </c>
      <c r="J47" s="3" t="s">
        <v>27</v>
      </c>
      <c r="K47" s="4" t="s">
        <v>28</v>
      </c>
      <c r="L47" s="3" t="s">
        <v>276</v>
      </c>
      <c r="M47" s="6" t="s">
        <v>41</v>
      </c>
      <c r="N47" s="3" t="s">
        <v>31</v>
      </c>
      <c r="O47" s="3" t="s">
        <v>53</v>
      </c>
      <c r="P47" s="3" t="s">
        <v>48</v>
      </c>
      <c r="Q47" s="3" t="s">
        <v>34</v>
      </c>
      <c r="R47" s="3" t="s">
        <v>35</v>
      </c>
    </row>
    <row r="48" customFormat="false" ht="23.25" hidden="false" customHeight="true" outlineLevel="0" collapsed="false">
      <c r="A48" s="3" t="s">
        <v>277</v>
      </c>
      <c r="B48" s="3" t="s">
        <v>269</v>
      </c>
      <c r="C48" s="3" t="s">
        <v>278</v>
      </c>
      <c r="D48" s="3" t="s">
        <v>279</v>
      </c>
      <c r="E48" s="3" t="s">
        <v>45</v>
      </c>
      <c r="F48" s="3" t="s">
        <v>23</v>
      </c>
      <c r="G48" s="3" t="s">
        <v>45</v>
      </c>
      <c r="H48" s="3" t="s">
        <v>25</v>
      </c>
      <c r="I48" s="3" t="s">
        <v>26</v>
      </c>
      <c r="J48" s="3" t="s">
        <v>27</v>
      </c>
      <c r="K48" s="4" t="s">
        <v>28</v>
      </c>
      <c r="L48" s="3" t="s">
        <v>280</v>
      </c>
      <c r="M48" s="6" t="s">
        <v>41</v>
      </c>
      <c r="N48" s="3" t="s">
        <v>31</v>
      </c>
      <c r="O48" s="3" t="s">
        <v>32</v>
      </c>
      <c r="P48" s="3" t="s">
        <v>48</v>
      </c>
      <c r="Q48" s="3" t="s">
        <v>34</v>
      </c>
      <c r="R48" s="3" t="s">
        <v>35</v>
      </c>
    </row>
    <row r="49" customFormat="false" ht="23.25" hidden="false" customHeight="true" outlineLevel="0" collapsed="false">
      <c r="A49" s="3" t="s">
        <v>281</v>
      </c>
      <c r="B49" s="3" t="s">
        <v>269</v>
      </c>
      <c r="C49" s="3" t="s">
        <v>282</v>
      </c>
      <c r="D49" s="3" t="s">
        <v>283</v>
      </c>
      <c r="E49" s="3" t="s">
        <v>45</v>
      </c>
      <c r="F49" s="3" t="s">
        <v>23</v>
      </c>
      <c r="G49" s="3" t="s">
        <v>45</v>
      </c>
      <c r="H49" s="3" t="s">
        <v>25</v>
      </c>
      <c r="I49" s="3" t="s">
        <v>26</v>
      </c>
      <c r="J49" s="3" t="s">
        <v>27</v>
      </c>
      <c r="K49" s="4" t="s">
        <v>28</v>
      </c>
      <c r="L49" s="3" t="s">
        <v>284</v>
      </c>
      <c r="M49" s="5" t="s">
        <v>30</v>
      </c>
      <c r="N49" s="3" t="s">
        <v>31</v>
      </c>
      <c r="O49" s="3" t="s">
        <v>32</v>
      </c>
      <c r="P49" s="3" t="s">
        <v>48</v>
      </c>
      <c r="Q49" s="3" t="s">
        <v>34</v>
      </c>
      <c r="R49" s="3" t="s">
        <v>35</v>
      </c>
    </row>
    <row r="50" customFormat="false" ht="23.25" hidden="false" customHeight="true" outlineLevel="0" collapsed="false">
      <c r="A50" s="3" t="s">
        <v>285</v>
      </c>
      <c r="B50" s="3" t="s">
        <v>269</v>
      </c>
      <c r="C50" s="3" t="s">
        <v>286</v>
      </c>
      <c r="D50" s="3" t="s">
        <v>287</v>
      </c>
      <c r="E50" s="3" t="s">
        <v>45</v>
      </c>
      <c r="F50" s="3" t="s">
        <v>23</v>
      </c>
      <c r="G50" s="3" t="s">
        <v>45</v>
      </c>
      <c r="H50" s="3" t="s">
        <v>25</v>
      </c>
      <c r="I50" s="3" t="s">
        <v>26</v>
      </c>
      <c r="J50" s="3" t="s">
        <v>27</v>
      </c>
      <c r="K50" s="4" t="s">
        <v>28</v>
      </c>
      <c r="L50" s="3" t="s">
        <v>288</v>
      </c>
      <c r="M50" s="6" t="s">
        <v>41</v>
      </c>
      <c r="N50" s="3" t="s">
        <v>31</v>
      </c>
      <c r="O50" s="3" t="s">
        <v>53</v>
      </c>
      <c r="P50" s="3" t="s">
        <v>48</v>
      </c>
      <c r="Q50" s="3" t="s">
        <v>34</v>
      </c>
      <c r="R50" s="3" t="s">
        <v>35</v>
      </c>
    </row>
    <row r="51" customFormat="false" ht="23.25" hidden="false" customHeight="true" outlineLevel="0" collapsed="false">
      <c r="A51" s="3" t="s">
        <v>289</v>
      </c>
      <c r="B51" s="3" t="s">
        <v>269</v>
      </c>
      <c r="C51" s="3" t="s">
        <v>290</v>
      </c>
      <c r="D51" s="3" t="s">
        <v>291</v>
      </c>
      <c r="E51" s="3" t="s">
        <v>45</v>
      </c>
      <c r="F51" s="3" t="s">
        <v>23</v>
      </c>
      <c r="G51" s="3" t="s">
        <v>292</v>
      </c>
      <c r="H51" s="3" t="s">
        <v>25</v>
      </c>
      <c r="I51" s="3" t="s">
        <v>26</v>
      </c>
      <c r="J51" s="3" t="s">
        <v>27</v>
      </c>
      <c r="K51" s="4" t="s">
        <v>28</v>
      </c>
      <c r="L51" s="3" t="s">
        <v>293</v>
      </c>
      <c r="M51" s="5" t="s">
        <v>30</v>
      </c>
      <c r="N51" s="3" t="s">
        <v>31</v>
      </c>
      <c r="O51" s="3" t="s">
        <v>53</v>
      </c>
      <c r="P51" s="3" t="s">
        <v>33</v>
      </c>
      <c r="Q51" s="3" t="s">
        <v>34</v>
      </c>
      <c r="R51" s="3" t="s">
        <v>35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48"/>
    <col collapsed="false" customWidth="true" hidden="false" outlineLevel="0" max="5" min="5" style="1" width="36"/>
    <col collapsed="false" customWidth="true" hidden="false" outlineLevel="0" max="6" min="6" style="1" width="40"/>
    <col collapsed="false" customWidth="true" hidden="false" outlineLevel="0" max="7" min="7" style="1" width="10"/>
    <col collapsed="false" customWidth="true" hidden="false" outlineLevel="0" max="9" min="8" style="1" width="8"/>
    <col collapsed="false" customWidth="true" hidden="false" outlineLevel="0" max="10" min="10" style="1" width="12"/>
    <col collapsed="false" customWidth="true" hidden="false" outlineLevel="0" max="11" min="11" style="1" width="55"/>
    <col collapsed="false" customWidth="true" hidden="false" outlineLevel="0" max="12" min="12" style="0" width="55"/>
  </cols>
  <sheetData>
    <row r="1" customFormat="false" ht="23.25" hidden="false" customHeight="true" outlineLevel="0" collapsed="false">
      <c r="A1" s="2" t="s">
        <v>294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12</v>
      </c>
      <c r="H1" s="2" t="s">
        <v>300</v>
      </c>
      <c r="I1" s="2" t="s">
        <v>13</v>
      </c>
      <c r="J1" s="2" t="s">
        <v>301</v>
      </c>
      <c r="K1" s="2" t="s">
        <v>302</v>
      </c>
      <c r="L1" s="9" t="s">
        <v>303</v>
      </c>
    </row>
    <row r="2" customFormat="false" ht="23.25" hidden="false" customHeight="true" outlineLevel="0" collapsed="false">
      <c r="A2" s="3" t="s">
        <v>304</v>
      </c>
      <c r="B2" s="3" t="s">
        <v>305</v>
      </c>
      <c r="C2" s="3" t="s">
        <v>306</v>
      </c>
      <c r="D2" s="3" t="s">
        <v>307</v>
      </c>
      <c r="E2" s="3" t="s">
        <v>308</v>
      </c>
      <c r="F2" s="3" t="s">
        <v>309</v>
      </c>
      <c r="G2" s="5" t="s">
        <v>30</v>
      </c>
      <c r="H2" s="4" t="s">
        <v>310</v>
      </c>
      <c r="I2" s="3" t="s">
        <v>31</v>
      </c>
      <c r="J2" s="3"/>
      <c r="K2" s="3" t="s">
        <v>311</v>
      </c>
      <c r="L2" s="3" t="s">
        <v>312</v>
      </c>
    </row>
    <row r="3" customFormat="false" ht="23.25" hidden="false" customHeight="true" outlineLevel="0" collapsed="false">
      <c r="A3" s="3" t="s">
        <v>313</v>
      </c>
      <c r="B3" s="3" t="s">
        <v>305</v>
      </c>
      <c r="C3" s="3" t="s">
        <v>314</v>
      </c>
      <c r="D3" s="3" t="s">
        <v>315</v>
      </c>
      <c r="E3" s="3" t="s">
        <v>316</v>
      </c>
      <c r="F3" s="3" t="s">
        <v>317</v>
      </c>
      <c r="G3" s="5" t="s">
        <v>30</v>
      </c>
      <c r="H3" s="4" t="s">
        <v>310</v>
      </c>
      <c r="I3" s="3" t="s">
        <v>31</v>
      </c>
      <c r="J3" s="3"/>
      <c r="K3" s="3" t="s">
        <v>318</v>
      </c>
      <c r="L3" s="3" t="s">
        <v>319</v>
      </c>
    </row>
    <row r="4" customFormat="false" ht="23.25" hidden="false" customHeight="true" outlineLevel="0" collapsed="false">
      <c r="A4" s="3" t="s">
        <v>320</v>
      </c>
      <c r="B4" s="3" t="s">
        <v>321</v>
      </c>
      <c r="C4" s="3" t="s">
        <v>322</v>
      </c>
      <c r="D4" s="3" t="s">
        <v>323</v>
      </c>
      <c r="E4" s="3" t="s">
        <v>324</v>
      </c>
      <c r="F4" s="3" t="s">
        <v>325</v>
      </c>
      <c r="G4" s="5" t="s">
        <v>30</v>
      </c>
      <c r="H4" s="4" t="s">
        <v>310</v>
      </c>
      <c r="I4" s="3" t="s">
        <v>31</v>
      </c>
      <c r="J4" s="3"/>
      <c r="K4" s="3" t="s">
        <v>326</v>
      </c>
      <c r="L4" s="3" t="s">
        <v>327</v>
      </c>
    </row>
    <row r="5" customFormat="false" ht="23.25" hidden="false" customHeight="true" outlineLevel="0" collapsed="false">
      <c r="A5" s="3" t="s">
        <v>328</v>
      </c>
      <c r="B5" s="3" t="s">
        <v>329</v>
      </c>
      <c r="C5" s="3" t="s">
        <v>330</v>
      </c>
      <c r="D5" s="3" t="s">
        <v>331</v>
      </c>
      <c r="E5" s="3" t="s">
        <v>332</v>
      </c>
      <c r="F5" s="3" t="s">
        <v>333</v>
      </c>
      <c r="G5" s="5" t="s">
        <v>30</v>
      </c>
      <c r="H5" s="4" t="s">
        <v>310</v>
      </c>
      <c r="I5" s="3" t="s">
        <v>31</v>
      </c>
      <c r="J5" s="3"/>
      <c r="K5" s="3" t="s">
        <v>334</v>
      </c>
      <c r="L5" s="3" t="s">
        <v>335</v>
      </c>
    </row>
    <row r="6" customFormat="false" ht="23.25" hidden="false" customHeight="true" outlineLevel="0" collapsed="false">
      <c r="A6" s="3" t="s">
        <v>336</v>
      </c>
      <c r="B6" s="3" t="s">
        <v>337</v>
      </c>
      <c r="C6" s="3" t="s">
        <v>338</v>
      </c>
      <c r="D6" s="3" t="s">
        <v>339</v>
      </c>
      <c r="E6" s="3" t="s">
        <v>340</v>
      </c>
      <c r="F6" s="3" t="s">
        <v>341</v>
      </c>
      <c r="G6" s="5" t="s">
        <v>30</v>
      </c>
      <c r="H6" s="4" t="s">
        <v>310</v>
      </c>
      <c r="I6" s="3" t="s">
        <v>31</v>
      </c>
      <c r="J6" s="3"/>
      <c r="K6" s="3" t="s">
        <v>342</v>
      </c>
      <c r="L6" s="3" t="s">
        <v>343</v>
      </c>
    </row>
    <row r="7" customFormat="false" ht="23.25" hidden="false" customHeight="true" outlineLevel="0" collapsed="false">
      <c r="A7" s="3" t="s">
        <v>344</v>
      </c>
      <c r="B7" s="3" t="s">
        <v>345</v>
      </c>
      <c r="C7" s="3" t="s">
        <v>346</v>
      </c>
      <c r="D7" s="3" t="s">
        <v>347</v>
      </c>
      <c r="E7" s="3" t="s">
        <v>348</v>
      </c>
      <c r="F7" s="3" t="s">
        <v>349</v>
      </c>
      <c r="G7" s="5" t="s">
        <v>30</v>
      </c>
      <c r="H7" s="4" t="s">
        <v>310</v>
      </c>
      <c r="I7" s="3" t="s">
        <v>31</v>
      </c>
      <c r="J7" s="3"/>
      <c r="K7" s="3" t="s">
        <v>350</v>
      </c>
      <c r="L7" s="3" t="s">
        <v>351</v>
      </c>
    </row>
    <row r="8" customFormat="false" ht="23.25" hidden="false" customHeight="true" outlineLevel="0" collapsed="false">
      <c r="A8" s="3" t="s">
        <v>352</v>
      </c>
      <c r="B8" s="3" t="s">
        <v>345</v>
      </c>
      <c r="C8" s="3" t="s">
        <v>353</v>
      </c>
      <c r="D8" s="3" t="s">
        <v>354</v>
      </c>
      <c r="E8" s="3" t="s">
        <v>355</v>
      </c>
      <c r="F8" s="3" t="s">
        <v>356</v>
      </c>
      <c r="G8" s="6" t="s">
        <v>41</v>
      </c>
      <c r="H8" s="4" t="s">
        <v>310</v>
      </c>
      <c r="I8" s="3" t="s">
        <v>31</v>
      </c>
      <c r="J8" s="3"/>
      <c r="K8" s="3" t="s">
        <v>357</v>
      </c>
      <c r="L8" s="3" t="s">
        <v>358</v>
      </c>
    </row>
    <row r="9" customFormat="false" ht="15" hidden="false" customHeight="true" outlineLevel="0" collapsed="false">
      <c r="A9" s="3" t="s">
        <v>359</v>
      </c>
      <c r="B9" s="3" t="s">
        <v>345</v>
      </c>
      <c r="C9" s="3" t="s">
        <v>360</v>
      </c>
      <c r="D9" s="3" t="s">
        <v>361</v>
      </c>
      <c r="E9" s="3" t="s">
        <v>362</v>
      </c>
      <c r="F9" s="3" t="s">
        <v>363</v>
      </c>
      <c r="G9" s="6" t="s">
        <v>41</v>
      </c>
      <c r="H9" s="4" t="s">
        <v>310</v>
      </c>
      <c r="I9" s="3" t="s">
        <v>31</v>
      </c>
      <c r="J9" s="3"/>
      <c r="K9" s="3" t="s">
        <v>364</v>
      </c>
      <c r="L9" s="3" t="s">
        <v>335</v>
      </c>
    </row>
    <row r="10" customFormat="false" ht="23.25" hidden="false" customHeight="true" outlineLevel="0" collapsed="false">
      <c r="A10" s="3" t="s">
        <v>365</v>
      </c>
      <c r="B10" s="3" t="s">
        <v>345</v>
      </c>
      <c r="C10" s="3" t="s">
        <v>366</v>
      </c>
      <c r="D10" s="3" t="s">
        <v>367</v>
      </c>
      <c r="E10" s="3" t="s">
        <v>368</v>
      </c>
      <c r="F10" s="3" t="s">
        <v>369</v>
      </c>
      <c r="G10" s="6" t="s">
        <v>41</v>
      </c>
      <c r="H10" s="4" t="s">
        <v>310</v>
      </c>
      <c r="I10" s="3" t="s">
        <v>31</v>
      </c>
      <c r="J10" s="3"/>
      <c r="K10" s="3" t="s">
        <v>370</v>
      </c>
      <c r="L10" s="3" t="s">
        <v>371</v>
      </c>
    </row>
    <row r="11" customFormat="false" ht="23.25" hidden="false" customHeight="true" outlineLevel="0" collapsed="false">
      <c r="A11" s="3" t="s">
        <v>372</v>
      </c>
      <c r="B11" s="3" t="s">
        <v>345</v>
      </c>
      <c r="C11" s="3" t="s">
        <v>113</v>
      </c>
      <c r="D11" s="3" t="s">
        <v>373</v>
      </c>
      <c r="E11" s="3" t="s">
        <v>374</v>
      </c>
      <c r="F11" s="3" t="s">
        <v>375</v>
      </c>
      <c r="G11" s="6" t="s">
        <v>41</v>
      </c>
      <c r="H11" s="4" t="s">
        <v>310</v>
      </c>
      <c r="I11" s="3" t="s">
        <v>31</v>
      </c>
      <c r="J11" s="3"/>
      <c r="K11" s="3" t="s">
        <v>376</v>
      </c>
      <c r="L11" s="3" t="s">
        <v>377</v>
      </c>
    </row>
    <row r="12" customFormat="false" ht="23.25" hidden="false" customHeight="true" outlineLevel="0" collapsed="false">
      <c r="A12" s="3" t="s">
        <v>378</v>
      </c>
      <c r="B12" s="3" t="s">
        <v>345</v>
      </c>
      <c r="C12" s="3" t="s">
        <v>77</v>
      </c>
      <c r="D12" s="3" t="s">
        <v>379</v>
      </c>
      <c r="E12" s="3" t="s">
        <v>380</v>
      </c>
      <c r="F12" s="3" t="s">
        <v>381</v>
      </c>
      <c r="G12" s="6" t="s">
        <v>41</v>
      </c>
      <c r="H12" s="4" t="s">
        <v>310</v>
      </c>
      <c r="I12" s="3" t="s">
        <v>31</v>
      </c>
      <c r="J12" s="3"/>
      <c r="K12" s="3" t="s">
        <v>382</v>
      </c>
      <c r="L12" s="3" t="s">
        <v>383</v>
      </c>
    </row>
    <row r="13" customFormat="false" ht="23.25" hidden="false" customHeight="true" outlineLevel="0" collapsed="false">
      <c r="A13" s="3" t="s">
        <v>384</v>
      </c>
      <c r="B13" s="3" t="s">
        <v>345</v>
      </c>
      <c r="C13" s="3" t="s">
        <v>385</v>
      </c>
      <c r="D13" s="3" t="s">
        <v>386</v>
      </c>
      <c r="E13" s="3" t="s">
        <v>387</v>
      </c>
      <c r="F13" s="3" t="s">
        <v>388</v>
      </c>
      <c r="G13" s="5" t="s">
        <v>30</v>
      </c>
      <c r="H13" s="4" t="s">
        <v>310</v>
      </c>
      <c r="I13" s="3" t="s">
        <v>31</v>
      </c>
      <c r="J13" s="3"/>
      <c r="K13" s="3" t="s">
        <v>389</v>
      </c>
      <c r="L13" s="3" t="s">
        <v>390</v>
      </c>
    </row>
    <row r="14" customFormat="false" ht="23.25" hidden="false" customHeight="true" outlineLevel="0" collapsed="false">
      <c r="A14" s="3" t="s">
        <v>391</v>
      </c>
      <c r="B14" s="3" t="s">
        <v>345</v>
      </c>
      <c r="C14" s="3" t="s">
        <v>392</v>
      </c>
      <c r="D14" s="3" t="s">
        <v>393</v>
      </c>
      <c r="E14" s="3" t="s">
        <v>394</v>
      </c>
      <c r="F14" s="3" t="s">
        <v>395</v>
      </c>
      <c r="G14" s="8" t="s">
        <v>90</v>
      </c>
      <c r="H14" s="4" t="s">
        <v>310</v>
      </c>
      <c r="I14" s="3" t="s">
        <v>31</v>
      </c>
      <c r="J14" s="3"/>
      <c r="K14" s="3" t="s">
        <v>396</v>
      </c>
      <c r="L14" s="3" t="s">
        <v>335</v>
      </c>
    </row>
    <row r="15" customFormat="false" ht="23.25" hidden="false" customHeight="true" outlineLevel="0" collapsed="false">
      <c r="A15" s="3" t="s">
        <v>397</v>
      </c>
      <c r="B15" s="3" t="s">
        <v>345</v>
      </c>
      <c r="C15" s="3" t="s">
        <v>398</v>
      </c>
      <c r="D15" s="3" t="s">
        <v>399</v>
      </c>
      <c r="E15" s="3" t="s">
        <v>400</v>
      </c>
      <c r="F15" s="3" t="s">
        <v>401</v>
      </c>
      <c r="G15" s="8" t="s">
        <v>90</v>
      </c>
      <c r="H15" s="10" t="s">
        <v>402</v>
      </c>
      <c r="I15" s="3" t="s">
        <v>31</v>
      </c>
      <c r="J15" s="3"/>
      <c r="K15" s="3" t="s">
        <v>403</v>
      </c>
      <c r="L15" s="3" t="s">
        <v>404</v>
      </c>
    </row>
    <row r="16" customFormat="false" ht="15" hidden="false" customHeight="true" outlineLevel="0" collapsed="false">
      <c r="A16" s="3" t="s">
        <v>405</v>
      </c>
      <c r="B16" s="3" t="s">
        <v>345</v>
      </c>
      <c r="C16" s="3" t="s">
        <v>406</v>
      </c>
      <c r="D16" s="3" t="s">
        <v>407</v>
      </c>
      <c r="E16" s="3" t="s">
        <v>408</v>
      </c>
      <c r="F16" s="3" t="s">
        <v>409</v>
      </c>
      <c r="G16" s="6" t="s">
        <v>41</v>
      </c>
      <c r="H16" s="4" t="s">
        <v>310</v>
      </c>
      <c r="I16" s="3" t="s">
        <v>31</v>
      </c>
      <c r="J16" s="3"/>
      <c r="K16" s="3" t="s">
        <v>410</v>
      </c>
      <c r="L16" s="3" t="s">
        <v>411</v>
      </c>
    </row>
    <row r="17" customFormat="false" ht="15" hidden="false" customHeight="true" outlineLevel="0" collapsed="false">
      <c r="A17" s="3" t="s">
        <v>412</v>
      </c>
      <c r="B17" s="3" t="s">
        <v>345</v>
      </c>
      <c r="C17" s="3" t="s">
        <v>413</v>
      </c>
      <c r="D17" s="3" t="s">
        <v>414</v>
      </c>
      <c r="E17" s="3" t="s">
        <v>415</v>
      </c>
      <c r="F17" s="3" t="s">
        <v>416</v>
      </c>
      <c r="G17" s="7" t="s">
        <v>47</v>
      </c>
      <c r="H17" s="4" t="s">
        <v>310</v>
      </c>
      <c r="I17" s="3" t="s">
        <v>31</v>
      </c>
      <c r="J17" s="3"/>
      <c r="K17" s="3" t="s">
        <v>417</v>
      </c>
      <c r="L17" s="3" t="s">
        <v>335</v>
      </c>
    </row>
    <row r="18" customFormat="false" ht="23.25" hidden="false" customHeight="true" outlineLevel="0" collapsed="false">
      <c r="A18" s="3" t="s">
        <v>418</v>
      </c>
      <c r="B18" s="3" t="s">
        <v>345</v>
      </c>
      <c r="C18" s="3" t="s">
        <v>419</v>
      </c>
      <c r="D18" s="3" t="s">
        <v>420</v>
      </c>
      <c r="E18" s="3" t="s">
        <v>421</v>
      </c>
      <c r="F18" s="3" t="s">
        <v>422</v>
      </c>
      <c r="G18" s="6" t="s">
        <v>41</v>
      </c>
      <c r="H18" s="4" t="s">
        <v>310</v>
      </c>
      <c r="I18" s="3" t="s">
        <v>31</v>
      </c>
      <c r="J18" s="3"/>
      <c r="K18" s="3" t="s">
        <v>423</v>
      </c>
      <c r="L18" s="3" t="s">
        <v>424</v>
      </c>
    </row>
    <row r="19" customFormat="false" ht="15" hidden="false" customHeight="true" outlineLevel="0" collapsed="false">
      <c r="A19" s="3" t="s">
        <v>425</v>
      </c>
      <c r="B19" s="3" t="s">
        <v>345</v>
      </c>
      <c r="C19" s="3" t="s">
        <v>426</v>
      </c>
      <c r="D19" s="3" t="s">
        <v>427</v>
      </c>
      <c r="E19" s="3" t="s">
        <v>428</v>
      </c>
      <c r="F19" s="3" t="s">
        <v>429</v>
      </c>
      <c r="G19" s="6" t="s">
        <v>41</v>
      </c>
      <c r="H19" s="4" t="s">
        <v>310</v>
      </c>
      <c r="I19" s="3" t="s">
        <v>31</v>
      </c>
      <c r="J19" s="3"/>
      <c r="K19" s="3" t="s">
        <v>430</v>
      </c>
      <c r="L19" s="3" t="s">
        <v>335</v>
      </c>
    </row>
    <row r="20" customFormat="false" ht="15" hidden="false" customHeight="true" outlineLevel="0" collapsed="false">
      <c r="A20" s="3" t="s">
        <v>431</v>
      </c>
      <c r="B20" s="3" t="s">
        <v>345</v>
      </c>
      <c r="C20" s="3" t="s">
        <v>432</v>
      </c>
      <c r="D20" s="3" t="s">
        <v>433</v>
      </c>
      <c r="E20" s="3" t="s">
        <v>434</v>
      </c>
      <c r="F20" s="3" t="s">
        <v>435</v>
      </c>
      <c r="G20" s="6" t="s">
        <v>41</v>
      </c>
      <c r="H20" s="4" t="s">
        <v>310</v>
      </c>
      <c r="I20" s="3" t="s">
        <v>31</v>
      </c>
      <c r="J20" s="3"/>
      <c r="K20" s="3" t="s">
        <v>436</v>
      </c>
      <c r="L20" s="3" t="s">
        <v>437</v>
      </c>
    </row>
    <row r="21" customFormat="false" ht="23.25" hidden="false" customHeight="true" outlineLevel="0" collapsed="false">
      <c r="A21" s="3" t="s">
        <v>438</v>
      </c>
      <c r="B21" s="3" t="s">
        <v>439</v>
      </c>
      <c r="C21" s="3" t="s">
        <v>440</v>
      </c>
      <c r="D21" s="3" t="s">
        <v>441</v>
      </c>
      <c r="E21" s="3" t="s">
        <v>442</v>
      </c>
      <c r="F21" s="3" t="s">
        <v>443</v>
      </c>
      <c r="G21" s="5" t="s">
        <v>30</v>
      </c>
      <c r="H21" s="5" t="s">
        <v>444</v>
      </c>
      <c r="I21" s="3" t="s">
        <v>31</v>
      </c>
      <c r="J21" s="3"/>
      <c r="K21" s="3" t="s">
        <v>445</v>
      </c>
      <c r="L21" s="3" t="s">
        <v>446</v>
      </c>
    </row>
    <row r="22" customFormat="false" ht="15" hidden="false" customHeight="true" outlineLevel="0" collapsed="false">
      <c r="A22" s="3" t="s">
        <v>447</v>
      </c>
      <c r="B22" s="3" t="s">
        <v>439</v>
      </c>
      <c r="C22" s="3" t="s">
        <v>448</v>
      </c>
      <c r="D22" s="3" t="s">
        <v>449</v>
      </c>
      <c r="E22" s="3" t="s">
        <v>450</v>
      </c>
      <c r="F22" s="3" t="s">
        <v>451</v>
      </c>
      <c r="G22" s="6" t="s">
        <v>41</v>
      </c>
      <c r="H22" s="10" t="s">
        <v>402</v>
      </c>
      <c r="I22" s="3" t="s">
        <v>31</v>
      </c>
      <c r="J22" s="3"/>
      <c r="K22" s="3" t="s">
        <v>452</v>
      </c>
      <c r="L22" s="3" t="s">
        <v>453</v>
      </c>
    </row>
    <row r="23" customFormat="false" ht="23.25" hidden="false" customHeight="true" outlineLevel="0" collapsed="false">
      <c r="A23" s="3" t="s">
        <v>454</v>
      </c>
      <c r="B23" s="3" t="s">
        <v>439</v>
      </c>
      <c r="C23" s="3" t="s">
        <v>360</v>
      </c>
      <c r="D23" s="3" t="s">
        <v>455</v>
      </c>
      <c r="E23" s="3" t="s">
        <v>456</v>
      </c>
      <c r="F23" s="3" t="s">
        <v>457</v>
      </c>
      <c r="G23" s="8" t="s">
        <v>90</v>
      </c>
      <c r="H23" s="10" t="s">
        <v>402</v>
      </c>
      <c r="I23" s="3" t="s">
        <v>31</v>
      </c>
      <c r="J23" s="3"/>
      <c r="K23" s="3" t="s">
        <v>458</v>
      </c>
      <c r="L23" s="3" t="s">
        <v>459</v>
      </c>
    </row>
    <row r="24" customFormat="false" ht="23.25" hidden="false" customHeight="true" outlineLevel="0" collapsed="false">
      <c r="A24" s="3" t="s">
        <v>460</v>
      </c>
      <c r="B24" s="3" t="s">
        <v>439</v>
      </c>
      <c r="C24" s="3" t="s">
        <v>360</v>
      </c>
      <c r="D24" s="3" t="s">
        <v>461</v>
      </c>
      <c r="E24" s="3" t="s">
        <v>462</v>
      </c>
      <c r="F24" s="3" t="s">
        <v>463</v>
      </c>
      <c r="G24" s="6" t="s">
        <v>41</v>
      </c>
      <c r="H24" s="4" t="s">
        <v>310</v>
      </c>
      <c r="I24" s="3" t="s">
        <v>31</v>
      </c>
      <c r="J24" s="3"/>
      <c r="K24" s="3" t="s">
        <v>464</v>
      </c>
      <c r="L24" s="3" t="s">
        <v>335</v>
      </c>
    </row>
    <row r="25" customFormat="false" ht="23.25" hidden="false" customHeight="true" outlineLevel="0" collapsed="false">
      <c r="A25" s="3" t="s">
        <v>465</v>
      </c>
      <c r="B25" s="3" t="s">
        <v>439</v>
      </c>
      <c r="C25" s="3" t="s">
        <v>466</v>
      </c>
      <c r="D25" s="3" t="s">
        <v>467</v>
      </c>
      <c r="E25" s="3" t="s">
        <v>468</v>
      </c>
      <c r="F25" s="3" t="s">
        <v>469</v>
      </c>
      <c r="G25" s="6" t="s">
        <v>41</v>
      </c>
      <c r="H25" s="4" t="s">
        <v>310</v>
      </c>
      <c r="I25" s="3" t="s">
        <v>31</v>
      </c>
      <c r="J25" s="3"/>
      <c r="K25" s="3" t="s">
        <v>470</v>
      </c>
      <c r="L25" s="3" t="s">
        <v>335</v>
      </c>
    </row>
    <row r="26" customFormat="false" ht="23.25" hidden="false" customHeight="true" outlineLevel="0" collapsed="false">
      <c r="A26" s="3" t="s">
        <v>471</v>
      </c>
      <c r="B26" s="3" t="s">
        <v>439</v>
      </c>
      <c r="C26" s="3" t="s">
        <v>360</v>
      </c>
      <c r="D26" s="3" t="s">
        <v>472</v>
      </c>
      <c r="E26" s="3" t="s">
        <v>473</v>
      </c>
      <c r="F26" s="3" t="s">
        <v>474</v>
      </c>
      <c r="G26" s="8" t="s">
        <v>90</v>
      </c>
      <c r="H26" s="4" t="s">
        <v>310</v>
      </c>
      <c r="I26" s="3" t="s">
        <v>31</v>
      </c>
      <c r="J26" s="3"/>
      <c r="K26" s="3" t="s">
        <v>475</v>
      </c>
      <c r="L26" s="3" t="s">
        <v>476</v>
      </c>
    </row>
    <row r="27" customFormat="false" ht="23.25" hidden="false" customHeight="true" outlineLevel="0" collapsed="false">
      <c r="A27" s="3" t="s">
        <v>477</v>
      </c>
      <c r="B27" s="3" t="s">
        <v>439</v>
      </c>
      <c r="C27" s="3" t="s">
        <v>478</v>
      </c>
      <c r="D27" s="3" t="s">
        <v>479</v>
      </c>
      <c r="E27" s="3" t="s">
        <v>480</v>
      </c>
      <c r="F27" s="3" t="s">
        <v>481</v>
      </c>
      <c r="G27" s="6" t="s">
        <v>41</v>
      </c>
      <c r="H27" s="4" t="s">
        <v>310</v>
      </c>
      <c r="I27" s="3" t="s">
        <v>31</v>
      </c>
      <c r="J27" s="3"/>
      <c r="K27" s="3" t="s">
        <v>482</v>
      </c>
      <c r="L27" s="3" t="s">
        <v>335</v>
      </c>
    </row>
    <row r="28" customFormat="false" ht="23.25" hidden="false" customHeight="true" outlineLevel="0" collapsed="false">
      <c r="A28" s="3" t="s">
        <v>483</v>
      </c>
      <c r="B28" s="3" t="s">
        <v>439</v>
      </c>
      <c r="C28" s="3" t="s">
        <v>484</v>
      </c>
      <c r="D28" s="3" t="s">
        <v>485</v>
      </c>
      <c r="E28" s="3" t="s">
        <v>486</v>
      </c>
      <c r="F28" s="3" t="s">
        <v>487</v>
      </c>
      <c r="G28" s="8" t="s">
        <v>90</v>
      </c>
      <c r="H28" s="4" t="s">
        <v>310</v>
      </c>
      <c r="I28" s="3" t="s">
        <v>31</v>
      </c>
      <c r="J28" s="3"/>
      <c r="K28" s="3" t="s">
        <v>488</v>
      </c>
      <c r="L28" s="3" t="s">
        <v>489</v>
      </c>
    </row>
    <row r="29" customFormat="false" ht="23.25" hidden="false" customHeight="true" outlineLevel="0" collapsed="false">
      <c r="A29" s="3" t="s">
        <v>490</v>
      </c>
      <c r="B29" s="3" t="s">
        <v>491</v>
      </c>
      <c r="C29" s="3" t="s">
        <v>492</v>
      </c>
      <c r="D29" s="3" t="s">
        <v>493</v>
      </c>
      <c r="E29" s="3" t="s">
        <v>494</v>
      </c>
      <c r="F29" s="3" t="s">
        <v>495</v>
      </c>
      <c r="G29" s="5" t="s">
        <v>30</v>
      </c>
      <c r="H29" s="4" t="s">
        <v>310</v>
      </c>
      <c r="I29" s="3" t="s">
        <v>31</v>
      </c>
      <c r="J29" s="3"/>
      <c r="K29" s="3" t="s">
        <v>496</v>
      </c>
      <c r="L29" s="3" t="s">
        <v>335</v>
      </c>
    </row>
    <row r="30" customFormat="false" ht="15" hidden="false" customHeight="true" outlineLevel="0" collapsed="false">
      <c r="A30" s="3" t="s">
        <v>497</v>
      </c>
      <c r="B30" s="3" t="s">
        <v>491</v>
      </c>
      <c r="C30" s="3" t="s">
        <v>498</v>
      </c>
      <c r="D30" s="3" t="s">
        <v>499</v>
      </c>
      <c r="E30" s="3" t="s">
        <v>500</v>
      </c>
      <c r="F30" s="3" t="s">
        <v>501</v>
      </c>
      <c r="G30" s="5" t="s">
        <v>30</v>
      </c>
      <c r="H30" s="4" t="s">
        <v>310</v>
      </c>
      <c r="I30" s="3" t="s">
        <v>31</v>
      </c>
      <c r="J30" s="3"/>
      <c r="K30" s="3" t="s">
        <v>502</v>
      </c>
      <c r="L30" s="3" t="s">
        <v>503</v>
      </c>
    </row>
    <row r="31" customFormat="false" ht="23.25" hidden="false" customHeight="true" outlineLevel="0" collapsed="false">
      <c r="A31" s="3" t="s">
        <v>504</v>
      </c>
      <c r="B31" s="3" t="s">
        <v>491</v>
      </c>
      <c r="C31" s="3" t="s">
        <v>505</v>
      </c>
      <c r="D31" s="3" t="s">
        <v>506</v>
      </c>
      <c r="E31" s="3" t="s">
        <v>507</v>
      </c>
      <c r="F31" s="3" t="s">
        <v>508</v>
      </c>
      <c r="G31" s="6" t="s">
        <v>41</v>
      </c>
      <c r="H31" s="4" t="s">
        <v>310</v>
      </c>
      <c r="I31" s="3" t="s">
        <v>31</v>
      </c>
      <c r="J31" s="3"/>
      <c r="K31" s="3" t="s">
        <v>509</v>
      </c>
      <c r="L31" s="3" t="s">
        <v>371</v>
      </c>
    </row>
    <row r="32" customFormat="false" ht="23.25" hidden="false" customHeight="true" outlineLevel="0" collapsed="false">
      <c r="A32" s="3" t="s">
        <v>510</v>
      </c>
      <c r="B32" s="3" t="s">
        <v>491</v>
      </c>
      <c r="C32" s="3" t="s">
        <v>511</v>
      </c>
      <c r="D32" s="3" t="s">
        <v>512</v>
      </c>
      <c r="E32" s="3" t="s">
        <v>513</v>
      </c>
      <c r="F32" s="3" t="s">
        <v>514</v>
      </c>
      <c r="G32" s="6" t="s">
        <v>41</v>
      </c>
      <c r="H32" s="4" t="s">
        <v>310</v>
      </c>
      <c r="I32" s="3" t="s">
        <v>31</v>
      </c>
      <c r="J32" s="3"/>
      <c r="K32" s="3" t="s">
        <v>515</v>
      </c>
      <c r="L32" s="3" t="s">
        <v>516</v>
      </c>
    </row>
    <row r="33" customFormat="false" ht="15" hidden="false" customHeight="true" outlineLevel="0" collapsed="false">
      <c r="A33" s="3" t="s">
        <v>517</v>
      </c>
      <c r="B33" s="3" t="s">
        <v>491</v>
      </c>
      <c r="C33" s="3" t="s">
        <v>518</v>
      </c>
      <c r="D33" s="3" t="s">
        <v>519</v>
      </c>
      <c r="E33" s="3" t="s">
        <v>520</v>
      </c>
      <c r="F33" s="3" t="s">
        <v>521</v>
      </c>
      <c r="G33" s="6" t="s">
        <v>41</v>
      </c>
      <c r="H33" s="10" t="s">
        <v>402</v>
      </c>
      <c r="I33" s="3" t="s">
        <v>31</v>
      </c>
      <c r="J33" s="3"/>
      <c r="K33" s="3" t="s">
        <v>522</v>
      </c>
      <c r="L33" s="3" t="s">
        <v>523</v>
      </c>
    </row>
    <row r="34" customFormat="false" ht="15" hidden="false" customHeight="true" outlineLevel="0" collapsed="false">
      <c r="A34" s="3" t="s">
        <v>524</v>
      </c>
      <c r="B34" s="3" t="s">
        <v>491</v>
      </c>
      <c r="C34" s="3" t="s">
        <v>525</v>
      </c>
      <c r="D34" s="3" t="s">
        <v>526</v>
      </c>
      <c r="E34" s="3" t="s">
        <v>527</v>
      </c>
      <c r="F34" s="3" t="s">
        <v>528</v>
      </c>
      <c r="G34" s="6" t="s">
        <v>41</v>
      </c>
      <c r="H34" s="4" t="s">
        <v>310</v>
      </c>
      <c r="I34" s="3" t="s">
        <v>31</v>
      </c>
      <c r="J34" s="3"/>
      <c r="K34" s="3" t="s">
        <v>529</v>
      </c>
      <c r="L34" s="3" t="s">
        <v>335</v>
      </c>
    </row>
    <row r="35" customFormat="false" ht="23.25" hidden="false" customHeight="true" outlineLevel="0" collapsed="false">
      <c r="A35" s="3" t="s">
        <v>530</v>
      </c>
      <c r="B35" s="3" t="s">
        <v>491</v>
      </c>
      <c r="C35" s="3" t="s">
        <v>531</v>
      </c>
      <c r="D35" s="3" t="s">
        <v>532</v>
      </c>
      <c r="E35" s="3" t="s">
        <v>533</v>
      </c>
      <c r="F35" s="3" t="s">
        <v>534</v>
      </c>
      <c r="G35" s="8" t="s">
        <v>90</v>
      </c>
      <c r="H35" s="4" t="s">
        <v>310</v>
      </c>
      <c r="I35" s="3" t="s">
        <v>31</v>
      </c>
      <c r="J35" s="3"/>
      <c r="K35" s="3" t="s">
        <v>535</v>
      </c>
      <c r="L35" s="3" t="s">
        <v>335</v>
      </c>
    </row>
    <row r="36" customFormat="false" ht="23.25" hidden="false" customHeight="true" outlineLevel="0" collapsed="false">
      <c r="A36" s="3" t="s">
        <v>536</v>
      </c>
      <c r="B36" s="3" t="s">
        <v>491</v>
      </c>
      <c r="C36" s="3" t="s">
        <v>537</v>
      </c>
      <c r="D36" s="3" t="s">
        <v>538</v>
      </c>
      <c r="E36" s="3" t="s">
        <v>539</v>
      </c>
      <c r="F36" s="3" t="s">
        <v>540</v>
      </c>
      <c r="G36" s="6" t="s">
        <v>41</v>
      </c>
      <c r="H36" s="4" t="s">
        <v>310</v>
      </c>
      <c r="I36" s="3" t="s">
        <v>31</v>
      </c>
      <c r="J36" s="3"/>
      <c r="K36" s="3" t="s">
        <v>541</v>
      </c>
      <c r="L36" s="3" t="s">
        <v>542</v>
      </c>
    </row>
    <row r="37" customFormat="false" ht="15" hidden="false" customHeight="true" outlineLevel="0" collapsed="false">
      <c r="A37" s="3" t="s">
        <v>543</v>
      </c>
      <c r="B37" s="3" t="s">
        <v>491</v>
      </c>
      <c r="C37" s="3" t="s">
        <v>413</v>
      </c>
      <c r="D37" s="3" t="s">
        <v>544</v>
      </c>
      <c r="E37" s="3" t="s">
        <v>545</v>
      </c>
      <c r="F37" s="3" t="s">
        <v>546</v>
      </c>
      <c r="G37" s="6" t="s">
        <v>41</v>
      </c>
      <c r="H37" s="4" t="s">
        <v>310</v>
      </c>
      <c r="I37" s="3" t="s">
        <v>31</v>
      </c>
      <c r="J37" s="3"/>
      <c r="K37" s="3" t="s">
        <v>547</v>
      </c>
      <c r="L37" s="3" t="s">
        <v>335</v>
      </c>
    </row>
    <row r="38" customFormat="false" ht="15" hidden="false" customHeight="true" outlineLevel="0" collapsed="false">
      <c r="A38" s="3" t="s">
        <v>548</v>
      </c>
      <c r="B38" s="3" t="s">
        <v>549</v>
      </c>
      <c r="C38" s="3" t="s">
        <v>550</v>
      </c>
      <c r="D38" s="3" t="s">
        <v>551</v>
      </c>
      <c r="E38" s="3" t="s">
        <v>552</v>
      </c>
      <c r="F38" s="3" t="s">
        <v>553</v>
      </c>
      <c r="G38" s="6" t="s">
        <v>41</v>
      </c>
      <c r="H38" s="4" t="s">
        <v>310</v>
      </c>
      <c r="I38" s="3" t="s">
        <v>31</v>
      </c>
      <c r="J38" s="3"/>
      <c r="K38" s="3" t="s">
        <v>554</v>
      </c>
      <c r="L38" s="3" t="s">
        <v>335</v>
      </c>
    </row>
    <row r="39" customFormat="false" ht="23.25" hidden="false" customHeight="true" outlineLevel="0" collapsed="false">
      <c r="A39" s="3" t="s">
        <v>555</v>
      </c>
      <c r="B39" s="3" t="s">
        <v>549</v>
      </c>
      <c r="C39" s="3" t="s">
        <v>360</v>
      </c>
      <c r="D39" s="3" t="s">
        <v>556</v>
      </c>
      <c r="E39" s="3" t="s">
        <v>557</v>
      </c>
      <c r="F39" s="3" t="s">
        <v>558</v>
      </c>
      <c r="G39" s="6" t="s">
        <v>41</v>
      </c>
      <c r="H39" s="4" t="s">
        <v>310</v>
      </c>
      <c r="I39" s="3" t="s">
        <v>31</v>
      </c>
      <c r="J39" s="3"/>
      <c r="K39" s="3" t="s">
        <v>559</v>
      </c>
      <c r="L39" s="3" t="s">
        <v>335</v>
      </c>
    </row>
    <row r="40" customFormat="false" ht="15" hidden="false" customHeight="true" outlineLevel="0" collapsed="false">
      <c r="A40" s="3" t="s">
        <v>560</v>
      </c>
      <c r="B40" s="3" t="s">
        <v>549</v>
      </c>
      <c r="C40" s="3" t="s">
        <v>360</v>
      </c>
      <c r="D40" s="3" t="s">
        <v>561</v>
      </c>
      <c r="E40" s="3" t="s">
        <v>562</v>
      </c>
      <c r="F40" s="3" t="s">
        <v>563</v>
      </c>
      <c r="G40" s="6" t="s">
        <v>41</v>
      </c>
      <c r="H40" s="4" t="s">
        <v>310</v>
      </c>
      <c r="I40" s="3" t="s">
        <v>31</v>
      </c>
      <c r="J40" s="3"/>
      <c r="K40" s="3" t="s">
        <v>564</v>
      </c>
      <c r="L40" s="3" t="s">
        <v>335</v>
      </c>
    </row>
    <row r="41" customFormat="false" ht="15" hidden="false" customHeight="true" outlineLevel="0" collapsed="false">
      <c r="A41" s="3" t="s">
        <v>565</v>
      </c>
      <c r="B41" s="3" t="s">
        <v>549</v>
      </c>
      <c r="C41" s="3" t="s">
        <v>566</v>
      </c>
      <c r="D41" s="3" t="s">
        <v>567</v>
      </c>
      <c r="E41" s="3" t="s">
        <v>568</v>
      </c>
      <c r="F41" s="3" t="s">
        <v>569</v>
      </c>
      <c r="G41" s="6" t="s">
        <v>41</v>
      </c>
      <c r="H41" s="4" t="s">
        <v>310</v>
      </c>
      <c r="I41" s="3" t="s">
        <v>31</v>
      </c>
      <c r="J41" s="3"/>
      <c r="K41" s="3" t="s">
        <v>570</v>
      </c>
      <c r="L41" s="3" t="s">
        <v>335</v>
      </c>
    </row>
    <row r="42" customFormat="false" ht="23.25" hidden="false" customHeight="true" outlineLevel="0" collapsed="false">
      <c r="A42" s="3" t="s">
        <v>571</v>
      </c>
      <c r="B42" s="3" t="s">
        <v>549</v>
      </c>
      <c r="C42" s="3" t="s">
        <v>360</v>
      </c>
      <c r="D42" s="3" t="s">
        <v>572</v>
      </c>
      <c r="E42" s="3" t="s">
        <v>573</v>
      </c>
      <c r="F42" s="3" t="s">
        <v>574</v>
      </c>
      <c r="G42" s="8" t="s">
        <v>90</v>
      </c>
      <c r="H42" s="10" t="s">
        <v>402</v>
      </c>
      <c r="I42" s="3" t="s">
        <v>31</v>
      </c>
      <c r="J42" s="3"/>
      <c r="K42" s="3" t="s">
        <v>575</v>
      </c>
      <c r="L42" s="3" t="s">
        <v>576</v>
      </c>
    </row>
    <row r="43" customFormat="false" ht="23.25" hidden="false" customHeight="true" outlineLevel="0" collapsed="false">
      <c r="A43" s="3" t="s">
        <v>577</v>
      </c>
      <c r="B43" s="3" t="s">
        <v>549</v>
      </c>
      <c r="C43" s="3" t="s">
        <v>531</v>
      </c>
      <c r="D43" s="3" t="s">
        <v>578</v>
      </c>
      <c r="E43" s="3" t="s">
        <v>579</v>
      </c>
      <c r="F43" s="3" t="s">
        <v>580</v>
      </c>
      <c r="G43" s="6" t="s">
        <v>41</v>
      </c>
      <c r="H43" s="4" t="s">
        <v>310</v>
      </c>
      <c r="I43" s="3" t="s">
        <v>31</v>
      </c>
      <c r="J43" s="3"/>
      <c r="K43" s="3" t="s">
        <v>581</v>
      </c>
      <c r="L43" s="3" t="s">
        <v>582</v>
      </c>
    </row>
    <row r="44" customFormat="false" ht="15" hidden="false" customHeight="true" outlineLevel="0" collapsed="false">
      <c r="A44" s="3" t="s">
        <v>583</v>
      </c>
      <c r="B44" s="3" t="s">
        <v>549</v>
      </c>
      <c r="C44" s="3" t="s">
        <v>163</v>
      </c>
      <c r="D44" s="3" t="s">
        <v>584</v>
      </c>
      <c r="E44" s="3" t="s">
        <v>585</v>
      </c>
      <c r="F44" s="3" t="s">
        <v>586</v>
      </c>
      <c r="G44" s="7" t="s">
        <v>47</v>
      </c>
      <c r="H44" s="4" t="s">
        <v>310</v>
      </c>
      <c r="I44" s="3" t="s">
        <v>31</v>
      </c>
      <c r="J44" s="3"/>
      <c r="K44" s="3" t="s">
        <v>587</v>
      </c>
      <c r="L44" s="3" t="s">
        <v>588</v>
      </c>
    </row>
    <row r="45" customFormat="false" ht="15" hidden="false" customHeight="true" outlineLevel="0" collapsed="false">
      <c r="A45" s="3" t="s">
        <v>589</v>
      </c>
      <c r="B45" s="3" t="s">
        <v>590</v>
      </c>
      <c r="C45" s="3" t="s">
        <v>330</v>
      </c>
      <c r="D45" s="3" t="s">
        <v>591</v>
      </c>
      <c r="E45" s="3" t="s">
        <v>592</v>
      </c>
      <c r="F45" s="3" t="s">
        <v>593</v>
      </c>
      <c r="G45" s="5" t="s">
        <v>30</v>
      </c>
      <c r="H45" s="4" t="s">
        <v>310</v>
      </c>
      <c r="I45" s="3" t="s">
        <v>31</v>
      </c>
      <c r="J45" s="3"/>
      <c r="K45" s="3" t="s">
        <v>594</v>
      </c>
      <c r="L45" s="3" t="s">
        <v>335</v>
      </c>
    </row>
    <row r="46" customFormat="false" ht="15" hidden="false" customHeight="true" outlineLevel="0" collapsed="false">
      <c r="A46" s="3" t="s">
        <v>595</v>
      </c>
      <c r="B46" s="3" t="s">
        <v>590</v>
      </c>
      <c r="C46" s="3" t="s">
        <v>596</v>
      </c>
      <c r="D46" s="3" t="s">
        <v>597</v>
      </c>
      <c r="E46" s="3" t="s">
        <v>598</v>
      </c>
      <c r="F46" s="3" t="s">
        <v>599</v>
      </c>
      <c r="G46" s="5" t="s">
        <v>30</v>
      </c>
      <c r="H46" s="10" t="s">
        <v>402</v>
      </c>
      <c r="I46" s="3" t="s">
        <v>31</v>
      </c>
      <c r="J46" s="3"/>
      <c r="K46" s="3" t="s">
        <v>600</v>
      </c>
      <c r="L46" s="3" t="s">
        <v>601</v>
      </c>
    </row>
    <row r="47" customFormat="false" ht="23.25" hidden="false" customHeight="true" outlineLevel="0" collapsed="false">
      <c r="A47" s="3" t="s">
        <v>602</v>
      </c>
      <c r="B47" s="3" t="s">
        <v>590</v>
      </c>
      <c r="C47" s="3" t="s">
        <v>603</v>
      </c>
      <c r="D47" s="3" t="s">
        <v>604</v>
      </c>
      <c r="E47" s="3" t="s">
        <v>605</v>
      </c>
      <c r="F47" s="3" t="s">
        <v>606</v>
      </c>
      <c r="G47" s="5" t="s">
        <v>30</v>
      </c>
      <c r="H47" s="4" t="s">
        <v>310</v>
      </c>
      <c r="I47" s="3" t="s">
        <v>31</v>
      </c>
      <c r="J47" s="3"/>
      <c r="K47" s="3" t="s">
        <v>607</v>
      </c>
      <c r="L47" s="3" t="s">
        <v>335</v>
      </c>
    </row>
    <row r="48" customFormat="false" ht="15" hidden="false" customHeight="true" outlineLevel="0" collapsed="false">
      <c r="A48" s="3" t="s">
        <v>608</v>
      </c>
      <c r="B48" s="3" t="s">
        <v>590</v>
      </c>
      <c r="C48" s="3" t="s">
        <v>609</v>
      </c>
      <c r="D48" s="3" t="s">
        <v>610</v>
      </c>
      <c r="E48" s="3" t="s">
        <v>611</v>
      </c>
      <c r="F48" s="3" t="s">
        <v>612</v>
      </c>
      <c r="G48" s="8" t="s">
        <v>90</v>
      </c>
      <c r="H48" s="10" t="s">
        <v>402</v>
      </c>
      <c r="I48" s="3" t="s">
        <v>31</v>
      </c>
      <c r="J48" s="3"/>
      <c r="K48" s="3" t="s">
        <v>613</v>
      </c>
      <c r="L48" s="3" t="s">
        <v>614</v>
      </c>
    </row>
    <row r="49" customFormat="false" ht="23.25" hidden="false" customHeight="true" outlineLevel="0" collapsed="false">
      <c r="A49" s="3" t="s">
        <v>615</v>
      </c>
      <c r="B49" s="3" t="s">
        <v>590</v>
      </c>
      <c r="C49" s="3" t="s">
        <v>426</v>
      </c>
      <c r="D49" s="3" t="s">
        <v>616</v>
      </c>
      <c r="E49" s="3" t="s">
        <v>617</v>
      </c>
      <c r="F49" s="3" t="s">
        <v>618</v>
      </c>
      <c r="G49" s="6" t="s">
        <v>41</v>
      </c>
      <c r="H49" s="4" t="s">
        <v>310</v>
      </c>
      <c r="I49" s="3" t="s">
        <v>31</v>
      </c>
      <c r="J49" s="3"/>
      <c r="K49" s="3" t="s">
        <v>619</v>
      </c>
      <c r="L49" s="3" t="s">
        <v>335</v>
      </c>
    </row>
    <row r="50" customFormat="false" ht="23.25" hidden="false" customHeight="true" outlineLevel="0" collapsed="false">
      <c r="A50" s="3" t="s">
        <v>620</v>
      </c>
      <c r="B50" s="3" t="s">
        <v>590</v>
      </c>
      <c r="C50" s="3" t="s">
        <v>621</v>
      </c>
      <c r="D50" s="3" t="s">
        <v>622</v>
      </c>
      <c r="E50" s="3" t="s">
        <v>623</v>
      </c>
      <c r="F50" s="3" t="s">
        <v>624</v>
      </c>
      <c r="G50" s="6" t="s">
        <v>41</v>
      </c>
      <c r="H50" s="4" t="s">
        <v>310</v>
      </c>
      <c r="I50" s="3" t="s">
        <v>31</v>
      </c>
      <c r="J50" s="3"/>
      <c r="K50" s="3" t="s">
        <v>625</v>
      </c>
      <c r="L50" s="3" t="s">
        <v>626</v>
      </c>
    </row>
    <row r="51" customFormat="false" ht="15" hidden="false" customHeight="true" outlineLevel="0" collapsed="false">
      <c r="A51" s="3" t="s">
        <v>627</v>
      </c>
      <c r="B51" s="3" t="s">
        <v>208</v>
      </c>
      <c r="C51" s="3" t="s">
        <v>609</v>
      </c>
      <c r="D51" s="3" t="s">
        <v>628</v>
      </c>
      <c r="E51" s="3" t="s">
        <v>629</v>
      </c>
      <c r="F51" s="3" t="s">
        <v>630</v>
      </c>
      <c r="G51" s="6" t="s">
        <v>41</v>
      </c>
      <c r="H51" s="4" t="s">
        <v>310</v>
      </c>
      <c r="I51" s="3" t="s">
        <v>31</v>
      </c>
      <c r="J51" s="3"/>
      <c r="K51" s="3" t="s">
        <v>631</v>
      </c>
      <c r="L51" s="3" t="s">
        <v>632</v>
      </c>
    </row>
    <row r="52" customFormat="false" ht="15" hidden="false" customHeight="true" outlineLevel="0" collapsed="false">
      <c r="A52" s="3" t="s">
        <v>633</v>
      </c>
      <c r="B52" s="3" t="s">
        <v>208</v>
      </c>
      <c r="C52" s="3" t="s">
        <v>360</v>
      </c>
      <c r="D52" s="3" t="s">
        <v>634</v>
      </c>
      <c r="E52" s="3" t="s">
        <v>635</v>
      </c>
      <c r="F52" s="3" t="s">
        <v>636</v>
      </c>
      <c r="G52" s="8" t="s">
        <v>90</v>
      </c>
      <c r="H52" s="4" t="s">
        <v>310</v>
      </c>
      <c r="I52" s="3" t="s">
        <v>31</v>
      </c>
      <c r="J52" s="3"/>
      <c r="K52" s="3" t="s">
        <v>637</v>
      </c>
      <c r="L52" s="3" t="s">
        <v>638</v>
      </c>
    </row>
    <row r="53" customFormat="false" ht="15" hidden="false" customHeight="true" outlineLevel="0" collapsed="false">
      <c r="A53" s="3" t="s">
        <v>639</v>
      </c>
      <c r="B53" s="3" t="s">
        <v>208</v>
      </c>
      <c r="C53" s="3" t="s">
        <v>360</v>
      </c>
      <c r="D53" s="3" t="s">
        <v>640</v>
      </c>
      <c r="E53" s="3" t="s">
        <v>641</v>
      </c>
      <c r="F53" s="3" t="s">
        <v>642</v>
      </c>
      <c r="G53" s="6" t="s">
        <v>41</v>
      </c>
      <c r="H53" s="4" t="s">
        <v>310</v>
      </c>
      <c r="I53" s="3" t="s">
        <v>31</v>
      </c>
      <c r="J53" s="3"/>
      <c r="K53" s="3" t="s">
        <v>643</v>
      </c>
      <c r="L53" s="3" t="s">
        <v>644</v>
      </c>
    </row>
    <row r="54" customFormat="false" ht="15" hidden="false" customHeight="true" outlineLevel="0" collapsed="false">
      <c r="A54" s="3" t="s">
        <v>645</v>
      </c>
      <c r="B54" s="3" t="s">
        <v>208</v>
      </c>
      <c r="C54" s="3" t="s">
        <v>360</v>
      </c>
      <c r="D54" s="3" t="s">
        <v>646</v>
      </c>
      <c r="E54" s="3" t="s">
        <v>647</v>
      </c>
      <c r="F54" s="3" t="s">
        <v>648</v>
      </c>
      <c r="G54" s="6" t="s">
        <v>41</v>
      </c>
      <c r="H54" s="4" t="s">
        <v>310</v>
      </c>
      <c r="I54" s="3" t="s">
        <v>31</v>
      </c>
      <c r="J54" s="3"/>
      <c r="K54" s="3" t="s">
        <v>649</v>
      </c>
      <c r="L54" s="3" t="s">
        <v>650</v>
      </c>
    </row>
    <row r="55" customFormat="false" ht="15" hidden="false" customHeight="true" outlineLevel="0" collapsed="false">
      <c r="A55" s="3" t="s">
        <v>651</v>
      </c>
      <c r="B55" s="3" t="s">
        <v>208</v>
      </c>
      <c r="C55" s="3" t="s">
        <v>398</v>
      </c>
      <c r="D55" s="3" t="s">
        <v>652</v>
      </c>
      <c r="E55" s="3" t="s">
        <v>653</v>
      </c>
      <c r="F55" s="3" t="s">
        <v>654</v>
      </c>
      <c r="G55" s="8" t="s">
        <v>90</v>
      </c>
      <c r="H55" s="4" t="s">
        <v>310</v>
      </c>
      <c r="I55" s="3" t="s">
        <v>31</v>
      </c>
      <c r="J55" s="3"/>
      <c r="K55" s="3" t="s">
        <v>655</v>
      </c>
      <c r="L55" s="3" t="s">
        <v>656</v>
      </c>
    </row>
    <row r="56" customFormat="false" ht="15" hidden="false" customHeight="true" outlineLevel="0" collapsed="false">
      <c r="A56" s="3" t="s">
        <v>657</v>
      </c>
      <c r="B56" s="3" t="s">
        <v>208</v>
      </c>
      <c r="C56" s="3" t="s">
        <v>216</v>
      </c>
      <c r="D56" s="3" t="s">
        <v>658</v>
      </c>
      <c r="E56" s="3" t="s">
        <v>659</v>
      </c>
      <c r="F56" s="3" t="s">
        <v>660</v>
      </c>
      <c r="G56" s="7" t="s">
        <v>47</v>
      </c>
      <c r="H56" s="4" t="s">
        <v>310</v>
      </c>
      <c r="I56" s="3" t="s">
        <v>31</v>
      </c>
      <c r="J56" s="3"/>
      <c r="K56" s="3" t="s">
        <v>661</v>
      </c>
      <c r="L56" s="3" t="s">
        <v>335</v>
      </c>
    </row>
    <row r="57" customFormat="false" ht="23.25" hidden="false" customHeight="true" outlineLevel="0" collapsed="false">
      <c r="A57" s="3" t="s">
        <v>662</v>
      </c>
      <c r="B57" s="3" t="s">
        <v>663</v>
      </c>
      <c r="C57" s="3" t="s">
        <v>664</v>
      </c>
      <c r="D57" s="3" t="s">
        <v>665</v>
      </c>
      <c r="E57" s="3" t="s">
        <v>666</v>
      </c>
      <c r="F57" s="3" t="s">
        <v>667</v>
      </c>
      <c r="G57" s="5" t="s">
        <v>30</v>
      </c>
      <c r="H57" s="4" t="s">
        <v>310</v>
      </c>
      <c r="I57" s="3" t="s">
        <v>31</v>
      </c>
      <c r="J57" s="3"/>
      <c r="K57" s="3" t="s">
        <v>668</v>
      </c>
      <c r="L57" s="3" t="s">
        <v>335</v>
      </c>
    </row>
    <row r="58" customFormat="false" ht="15" hidden="false" customHeight="true" outlineLevel="0" collapsed="false">
      <c r="A58" s="3" t="s">
        <v>669</v>
      </c>
      <c r="B58" s="3" t="s">
        <v>663</v>
      </c>
      <c r="C58" s="3" t="s">
        <v>440</v>
      </c>
      <c r="D58" s="3" t="s">
        <v>670</v>
      </c>
      <c r="E58" s="3" t="s">
        <v>671</v>
      </c>
      <c r="F58" s="3" t="s">
        <v>672</v>
      </c>
      <c r="G58" s="5" t="s">
        <v>30</v>
      </c>
      <c r="H58" s="4" t="s">
        <v>310</v>
      </c>
      <c r="I58" s="3" t="s">
        <v>31</v>
      </c>
      <c r="J58" s="3"/>
      <c r="K58" s="3" t="s">
        <v>673</v>
      </c>
      <c r="L58" s="3" t="s">
        <v>335</v>
      </c>
    </row>
    <row r="59" customFormat="false" ht="23.25" hidden="false" customHeight="true" outlineLevel="0" collapsed="false">
      <c r="A59" s="3" t="s">
        <v>674</v>
      </c>
      <c r="B59" s="3" t="s">
        <v>663</v>
      </c>
      <c r="C59" s="3" t="s">
        <v>675</v>
      </c>
      <c r="D59" s="3" t="s">
        <v>676</v>
      </c>
      <c r="E59" s="3" t="s">
        <v>677</v>
      </c>
      <c r="F59" s="3" t="s">
        <v>678</v>
      </c>
      <c r="G59" s="6" t="s">
        <v>41</v>
      </c>
      <c r="H59" s="4" t="s">
        <v>310</v>
      </c>
      <c r="I59" s="3" t="s">
        <v>31</v>
      </c>
      <c r="J59" s="3"/>
      <c r="K59" s="3" t="s">
        <v>679</v>
      </c>
      <c r="L59" s="3" t="s">
        <v>335</v>
      </c>
    </row>
    <row r="60" customFormat="false" ht="15" hidden="false" customHeight="true" outlineLevel="0" collapsed="false">
      <c r="A60" s="3" t="s">
        <v>680</v>
      </c>
      <c r="B60" s="3" t="s">
        <v>663</v>
      </c>
      <c r="C60" s="3" t="s">
        <v>360</v>
      </c>
      <c r="D60" s="3" t="s">
        <v>681</v>
      </c>
      <c r="E60" s="3" t="s">
        <v>682</v>
      </c>
      <c r="F60" s="3" t="s">
        <v>683</v>
      </c>
      <c r="G60" s="6" t="s">
        <v>41</v>
      </c>
      <c r="H60" s="4" t="s">
        <v>310</v>
      </c>
      <c r="I60" s="3" t="s">
        <v>31</v>
      </c>
      <c r="J60" s="3"/>
      <c r="K60" s="3" t="s">
        <v>684</v>
      </c>
      <c r="L60" s="3" t="s">
        <v>371</v>
      </c>
    </row>
    <row r="61" customFormat="false" ht="15" hidden="false" customHeight="true" outlineLevel="0" collapsed="false">
      <c r="A61" s="3" t="s">
        <v>685</v>
      </c>
      <c r="B61" s="3" t="s">
        <v>663</v>
      </c>
      <c r="C61" s="3" t="s">
        <v>360</v>
      </c>
      <c r="D61" s="3" t="s">
        <v>686</v>
      </c>
      <c r="E61" s="3" t="s">
        <v>687</v>
      </c>
      <c r="F61" s="3" t="s">
        <v>688</v>
      </c>
      <c r="G61" s="6" t="s">
        <v>41</v>
      </c>
      <c r="H61" s="4" t="s">
        <v>310</v>
      </c>
      <c r="I61" s="3" t="s">
        <v>31</v>
      </c>
      <c r="J61" s="3"/>
      <c r="K61" s="3" t="s">
        <v>689</v>
      </c>
      <c r="L61" s="3" t="s">
        <v>335</v>
      </c>
    </row>
    <row r="62" customFormat="false" ht="23.25" hidden="false" customHeight="true" outlineLevel="0" collapsed="false">
      <c r="A62" s="3" t="s">
        <v>690</v>
      </c>
      <c r="B62" s="3" t="s">
        <v>663</v>
      </c>
      <c r="C62" s="3" t="s">
        <v>360</v>
      </c>
      <c r="D62" s="3" t="s">
        <v>691</v>
      </c>
      <c r="E62" s="3" t="s">
        <v>692</v>
      </c>
      <c r="F62" s="3" t="s">
        <v>693</v>
      </c>
      <c r="G62" s="6" t="s">
        <v>41</v>
      </c>
      <c r="H62" s="4" t="s">
        <v>310</v>
      </c>
      <c r="I62" s="3" t="s">
        <v>31</v>
      </c>
      <c r="J62" s="3"/>
      <c r="K62" s="3" t="s">
        <v>694</v>
      </c>
      <c r="L62" s="3" t="s">
        <v>371</v>
      </c>
    </row>
    <row r="63" customFormat="false" ht="23.25" hidden="false" customHeight="true" outlineLevel="0" collapsed="false">
      <c r="A63" s="3" t="s">
        <v>695</v>
      </c>
      <c r="B63" s="3" t="s">
        <v>663</v>
      </c>
      <c r="C63" s="3" t="s">
        <v>696</v>
      </c>
      <c r="D63" s="3" t="s">
        <v>697</v>
      </c>
      <c r="E63" s="3" t="s">
        <v>698</v>
      </c>
      <c r="F63" s="3" t="s">
        <v>699</v>
      </c>
      <c r="G63" s="6" t="s">
        <v>41</v>
      </c>
      <c r="H63" s="4" t="s">
        <v>310</v>
      </c>
      <c r="I63" s="3" t="s">
        <v>31</v>
      </c>
      <c r="J63" s="3"/>
      <c r="K63" s="3" t="s">
        <v>700</v>
      </c>
      <c r="L63" s="3" t="s">
        <v>335</v>
      </c>
    </row>
    <row r="64" customFormat="false" ht="23.25" hidden="false" customHeight="true" outlineLevel="0" collapsed="false">
      <c r="A64" s="3" t="s">
        <v>701</v>
      </c>
      <c r="B64" s="3" t="s">
        <v>226</v>
      </c>
      <c r="C64" s="3" t="s">
        <v>702</v>
      </c>
      <c r="D64" s="3" t="s">
        <v>703</v>
      </c>
      <c r="E64" s="3" t="s">
        <v>704</v>
      </c>
      <c r="F64" s="3" t="s">
        <v>705</v>
      </c>
      <c r="G64" s="5" t="s">
        <v>30</v>
      </c>
      <c r="H64" s="4" t="s">
        <v>310</v>
      </c>
      <c r="I64" s="3" t="s">
        <v>31</v>
      </c>
      <c r="J64" s="3"/>
      <c r="K64" s="3" t="s">
        <v>706</v>
      </c>
      <c r="L64" s="3" t="s">
        <v>371</v>
      </c>
    </row>
    <row r="65" customFormat="false" ht="23.25" hidden="false" customHeight="true" outlineLevel="0" collapsed="false">
      <c r="A65" s="3" t="s">
        <v>707</v>
      </c>
      <c r="B65" s="3" t="s">
        <v>226</v>
      </c>
      <c r="C65" s="3" t="s">
        <v>232</v>
      </c>
      <c r="D65" s="3" t="s">
        <v>708</v>
      </c>
      <c r="E65" s="3" t="s">
        <v>709</v>
      </c>
      <c r="F65" s="3" t="s">
        <v>710</v>
      </c>
      <c r="G65" s="5" t="s">
        <v>30</v>
      </c>
      <c r="H65" s="4" t="s">
        <v>310</v>
      </c>
      <c r="I65" s="3" t="s">
        <v>31</v>
      </c>
      <c r="J65" s="3"/>
      <c r="K65" s="3" t="s">
        <v>711</v>
      </c>
      <c r="L65" s="3" t="s">
        <v>335</v>
      </c>
    </row>
    <row r="66" customFormat="false" ht="23.25" hidden="false" customHeight="true" outlineLevel="0" collapsed="false">
      <c r="A66" s="3" t="s">
        <v>712</v>
      </c>
      <c r="B66" s="3" t="s">
        <v>226</v>
      </c>
      <c r="C66" s="3" t="s">
        <v>287</v>
      </c>
      <c r="D66" s="3" t="s">
        <v>713</v>
      </c>
      <c r="E66" s="3" t="s">
        <v>714</v>
      </c>
      <c r="F66" s="3" t="s">
        <v>715</v>
      </c>
      <c r="G66" s="6" t="s">
        <v>41</v>
      </c>
      <c r="H66" s="4" t="s">
        <v>310</v>
      </c>
      <c r="I66" s="3" t="s">
        <v>31</v>
      </c>
      <c r="J66" s="3"/>
      <c r="K66" s="3" t="s">
        <v>716</v>
      </c>
      <c r="L66" s="3" t="s">
        <v>371</v>
      </c>
    </row>
    <row r="67" customFormat="false" ht="23.25" hidden="false" customHeight="true" outlineLevel="0" collapsed="false">
      <c r="A67" s="3" t="s">
        <v>717</v>
      </c>
      <c r="B67" s="3" t="s">
        <v>718</v>
      </c>
      <c r="C67" s="3" t="s">
        <v>719</v>
      </c>
      <c r="D67" s="3" t="s">
        <v>720</v>
      </c>
      <c r="E67" s="3" t="s">
        <v>721</v>
      </c>
      <c r="F67" s="3" t="s">
        <v>722</v>
      </c>
      <c r="G67" s="6" t="s">
        <v>41</v>
      </c>
      <c r="H67" s="4" t="s">
        <v>310</v>
      </c>
      <c r="I67" s="3" t="s">
        <v>31</v>
      </c>
      <c r="J67" s="3"/>
      <c r="K67" s="3" t="s">
        <v>723</v>
      </c>
      <c r="L67" s="3" t="s">
        <v>724</v>
      </c>
    </row>
    <row r="68" customFormat="false" ht="15" hidden="false" customHeight="true" outlineLevel="0" collapsed="false">
      <c r="A68" s="3" t="s">
        <v>725</v>
      </c>
      <c r="B68" s="3" t="s">
        <v>226</v>
      </c>
      <c r="C68" s="3" t="s">
        <v>426</v>
      </c>
      <c r="D68" s="3" t="s">
        <v>726</v>
      </c>
      <c r="E68" s="3" t="s">
        <v>727</v>
      </c>
      <c r="F68" s="3" t="s">
        <v>728</v>
      </c>
      <c r="G68" s="6" t="s">
        <v>41</v>
      </c>
      <c r="H68" s="4" t="s">
        <v>310</v>
      </c>
      <c r="I68" s="3" t="s">
        <v>31</v>
      </c>
      <c r="J68" s="3"/>
      <c r="K68" s="3" t="s">
        <v>729</v>
      </c>
      <c r="L68" s="3" t="s">
        <v>730</v>
      </c>
    </row>
    <row r="69" customFormat="false" ht="23.25" hidden="false" customHeight="true" outlineLevel="0" collapsed="false">
      <c r="A69" s="3" t="s">
        <v>731</v>
      </c>
      <c r="B69" s="3" t="s">
        <v>226</v>
      </c>
      <c r="C69" s="3" t="s">
        <v>732</v>
      </c>
      <c r="D69" s="3" t="s">
        <v>733</v>
      </c>
      <c r="E69" s="3" t="s">
        <v>734</v>
      </c>
      <c r="F69" s="3" t="s">
        <v>735</v>
      </c>
      <c r="G69" s="6" t="s">
        <v>41</v>
      </c>
      <c r="H69" s="10" t="s">
        <v>402</v>
      </c>
      <c r="I69" s="3" t="s">
        <v>31</v>
      </c>
      <c r="J69" s="3"/>
      <c r="K69" s="3" t="s">
        <v>736</v>
      </c>
      <c r="L69" s="3" t="s">
        <v>737</v>
      </c>
    </row>
    <row r="70" customFormat="false" ht="23.25" hidden="false" customHeight="true" outlineLevel="0" collapsed="false">
      <c r="A70" s="3" t="s">
        <v>738</v>
      </c>
      <c r="B70" s="3" t="s">
        <v>226</v>
      </c>
      <c r="C70" s="3" t="s">
        <v>426</v>
      </c>
      <c r="D70" s="3" t="s">
        <v>739</v>
      </c>
      <c r="E70" s="3" t="s">
        <v>740</v>
      </c>
      <c r="F70" s="3" t="s">
        <v>741</v>
      </c>
      <c r="G70" s="8" t="s">
        <v>90</v>
      </c>
      <c r="H70" s="4" t="s">
        <v>310</v>
      </c>
      <c r="I70" s="3" t="s">
        <v>31</v>
      </c>
      <c r="J70" s="3"/>
      <c r="K70" s="3" t="s">
        <v>742</v>
      </c>
      <c r="L70" s="3" t="s">
        <v>743</v>
      </c>
    </row>
    <row r="71" customFormat="false" ht="15" hidden="false" customHeight="true" outlineLevel="0" collapsed="false">
      <c r="A71" s="3" t="s">
        <v>744</v>
      </c>
      <c r="B71" s="3" t="s">
        <v>745</v>
      </c>
      <c r="C71" s="3" t="s">
        <v>746</v>
      </c>
      <c r="D71" s="3" t="s">
        <v>747</v>
      </c>
      <c r="E71" s="3" t="s">
        <v>748</v>
      </c>
      <c r="F71" s="3" t="s">
        <v>749</v>
      </c>
      <c r="G71" s="5" t="s">
        <v>30</v>
      </c>
      <c r="H71" s="4" t="s">
        <v>310</v>
      </c>
      <c r="I71" s="3" t="s">
        <v>31</v>
      </c>
      <c r="J71" s="3"/>
      <c r="K71" s="3" t="s">
        <v>750</v>
      </c>
      <c r="L71" s="3" t="s">
        <v>751</v>
      </c>
    </row>
    <row r="72" customFormat="false" ht="15" hidden="false" customHeight="true" outlineLevel="0" collapsed="false">
      <c r="A72" s="3" t="s">
        <v>752</v>
      </c>
      <c r="B72" s="3" t="s">
        <v>745</v>
      </c>
      <c r="C72" s="3" t="s">
        <v>753</v>
      </c>
      <c r="D72" s="3" t="s">
        <v>754</v>
      </c>
      <c r="E72" s="3" t="s">
        <v>755</v>
      </c>
      <c r="F72" s="3" t="s">
        <v>756</v>
      </c>
      <c r="G72" s="6" t="s">
        <v>41</v>
      </c>
      <c r="H72" s="4" t="s">
        <v>310</v>
      </c>
      <c r="I72" s="3" t="s">
        <v>31</v>
      </c>
      <c r="J72" s="3"/>
      <c r="K72" s="3" t="s">
        <v>757</v>
      </c>
      <c r="L72" s="3" t="s">
        <v>371</v>
      </c>
    </row>
    <row r="73" customFormat="false" ht="15" hidden="false" customHeight="true" outlineLevel="0" collapsed="false">
      <c r="A73" s="3" t="s">
        <v>758</v>
      </c>
      <c r="B73" s="3" t="s">
        <v>745</v>
      </c>
      <c r="C73" s="3" t="s">
        <v>759</v>
      </c>
      <c r="D73" s="3" t="s">
        <v>760</v>
      </c>
      <c r="E73" s="3" t="s">
        <v>761</v>
      </c>
      <c r="F73" s="3" t="s">
        <v>762</v>
      </c>
      <c r="G73" s="6" t="s">
        <v>41</v>
      </c>
      <c r="H73" s="4" t="s">
        <v>310</v>
      </c>
      <c r="I73" s="3" t="s">
        <v>31</v>
      </c>
      <c r="J73" s="3"/>
      <c r="K73" s="3" t="s">
        <v>763</v>
      </c>
      <c r="L73" s="3" t="s">
        <v>335</v>
      </c>
    </row>
    <row r="74" customFormat="false" ht="23.25" hidden="false" customHeight="true" outlineLevel="0" collapsed="false">
      <c r="A74" s="3" t="s">
        <v>764</v>
      </c>
      <c r="B74" s="3" t="s">
        <v>745</v>
      </c>
      <c r="C74" s="3" t="s">
        <v>360</v>
      </c>
      <c r="D74" s="3" t="s">
        <v>765</v>
      </c>
      <c r="E74" s="3" t="s">
        <v>766</v>
      </c>
      <c r="F74" s="3" t="s">
        <v>767</v>
      </c>
      <c r="G74" s="8" t="s">
        <v>90</v>
      </c>
      <c r="H74" s="4" t="s">
        <v>310</v>
      </c>
      <c r="I74" s="3" t="s">
        <v>31</v>
      </c>
      <c r="J74" s="3"/>
      <c r="K74" s="3" t="s">
        <v>768</v>
      </c>
      <c r="L74" s="3" t="s">
        <v>769</v>
      </c>
    </row>
    <row r="75" customFormat="false" ht="23.25" hidden="false" customHeight="true" outlineLevel="0" collapsed="false">
      <c r="A75" s="3" t="s">
        <v>770</v>
      </c>
      <c r="B75" s="3" t="s">
        <v>745</v>
      </c>
      <c r="C75" s="3" t="s">
        <v>771</v>
      </c>
      <c r="D75" s="3" t="s">
        <v>772</v>
      </c>
      <c r="E75" s="3" t="s">
        <v>773</v>
      </c>
      <c r="F75" s="3" t="s">
        <v>774</v>
      </c>
      <c r="G75" s="8" t="s">
        <v>90</v>
      </c>
      <c r="H75" s="4" t="s">
        <v>310</v>
      </c>
      <c r="I75" s="3" t="s">
        <v>31</v>
      </c>
      <c r="J75" s="3"/>
      <c r="K75" s="3" t="s">
        <v>775</v>
      </c>
      <c r="L75" s="3" t="s">
        <v>776</v>
      </c>
    </row>
    <row r="76" customFormat="false" ht="15" hidden="false" customHeight="true" outlineLevel="0" collapsed="false">
      <c r="A76" s="3" t="s">
        <v>777</v>
      </c>
      <c r="B76" s="3" t="s">
        <v>778</v>
      </c>
      <c r="C76" s="3" t="s">
        <v>279</v>
      </c>
      <c r="D76" s="3" t="s">
        <v>779</v>
      </c>
      <c r="E76" s="3" t="s">
        <v>780</v>
      </c>
      <c r="F76" s="3" t="s">
        <v>781</v>
      </c>
      <c r="G76" s="5" t="s">
        <v>30</v>
      </c>
      <c r="H76" s="4" t="s">
        <v>310</v>
      </c>
      <c r="I76" s="3" t="s">
        <v>31</v>
      </c>
      <c r="J76" s="3"/>
      <c r="K76" s="3" t="s">
        <v>782</v>
      </c>
      <c r="L76" s="3" t="s">
        <v>335</v>
      </c>
    </row>
    <row r="77" customFormat="false" ht="23.25" hidden="false" customHeight="true" outlineLevel="0" collapsed="false">
      <c r="A77" s="3" t="s">
        <v>783</v>
      </c>
      <c r="B77" s="3" t="s">
        <v>778</v>
      </c>
      <c r="C77" s="3" t="s">
        <v>784</v>
      </c>
      <c r="D77" s="3" t="s">
        <v>785</v>
      </c>
      <c r="E77" s="3" t="s">
        <v>786</v>
      </c>
      <c r="F77" s="3" t="s">
        <v>787</v>
      </c>
      <c r="G77" s="6" t="s">
        <v>41</v>
      </c>
      <c r="H77" s="4" t="s">
        <v>310</v>
      </c>
      <c r="I77" s="3" t="s">
        <v>31</v>
      </c>
      <c r="J77" s="3"/>
      <c r="K77" s="3" t="s">
        <v>788</v>
      </c>
      <c r="L77" s="3" t="s">
        <v>335</v>
      </c>
    </row>
    <row r="78" customFormat="false" ht="15" hidden="false" customHeight="true" outlineLevel="0" collapsed="false">
      <c r="A78" s="3" t="s">
        <v>789</v>
      </c>
      <c r="B78" s="3" t="s">
        <v>778</v>
      </c>
      <c r="C78" s="3" t="s">
        <v>784</v>
      </c>
      <c r="D78" s="3" t="s">
        <v>790</v>
      </c>
      <c r="E78" s="3" t="s">
        <v>791</v>
      </c>
      <c r="F78" s="3" t="s">
        <v>792</v>
      </c>
      <c r="G78" s="7" t="s">
        <v>47</v>
      </c>
      <c r="H78" s="4" t="s">
        <v>310</v>
      </c>
      <c r="I78" s="3" t="s">
        <v>31</v>
      </c>
      <c r="J78" s="3"/>
      <c r="K78" s="3" t="s">
        <v>793</v>
      </c>
      <c r="L78" s="3" t="s">
        <v>335</v>
      </c>
    </row>
    <row r="79" customFormat="false" ht="23.25" hidden="false" customHeight="true" outlineLevel="0" collapsed="false">
      <c r="A79" s="3" t="s">
        <v>794</v>
      </c>
      <c r="B79" s="3" t="s">
        <v>778</v>
      </c>
      <c r="C79" s="3" t="s">
        <v>360</v>
      </c>
      <c r="D79" s="3" t="s">
        <v>795</v>
      </c>
      <c r="E79" s="3" t="s">
        <v>796</v>
      </c>
      <c r="F79" s="3" t="s">
        <v>797</v>
      </c>
      <c r="G79" s="8" t="s">
        <v>90</v>
      </c>
      <c r="H79" s="4" t="s">
        <v>310</v>
      </c>
      <c r="I79" s="3" t="s">
        <v>31</v>
      </c>
      <c r="J79" s="3"/>
      <c r="K79" s="3" t="s">
        <v>798</v>
      </c>
      <c r="L79" s="3" t="s">
        <v>799</v>
      </c>
    </row>
    <row r="80" customFormat="false" ht="15" hidden="false" customHeight="true" outlineLevel="0" collapsed="false">
      <c r="A80" s="3" t="s">
        <v>800</v>
      </c>
      <c r="B80" s="3" t="s">
        <v>778</v>
      </c>
      <c r="C80" s="3" t="s">
        <v>759</v>
      </c>
      <c r="D80" s="3" t="s">
        <v>801</v>
      </c>
      <c r="E80" s="3" t="s">
        <v>802</v>
      </c>
      <c r="F80" s="3" t="s">
        <v>803</v>
      </c>
      <c r="G80" s="5" t="s">
        <v>30</v>
      </c>
      <c r="H80" s="4" t="s">
        <v>310</v>
      </c>
      <c r="I80" s="3" t="s">
        <v>31</v>
      </c>
      <c r="J80" s="3"/>
      <c r="K80" s="3" t="s">
        <v>804</v>
      </c>
      <c r="L80" s="3" t="s">
        <v>805</v>
      </c>
    </row>
    <row r="81" customFormat="false" ht="45.75" hidden="false" customHeight="true" outlineLevel="0" collapsed="false">
      <c r="A81" s="3" t="s">
        <v>806</v>
      </c>
      <c r="B81" s="3" t="s">
        <v>305</v>
      </c>
      <c r="C81" s="3" t="s">
        <v>807</v>
      </c>
      <c r="D81" s="3" t="s">
        <v>808</v>
      </c>
      <c r="E81" s="3" t="s">
        <v>809</v>
      </c>
      <c r="F81" s="3" t="s">
        <v>810</v>
      </c>
      <c r="G81" s="5" t="s">
        <v>30</v>
      </c>
      <c r="H81" s="4" t="s">
        <v>310</v>
      </c>
      <c r="I81" s="3" t="s">
        <v>31</v>
      </c>
      <c r="J81" s="3"/>
      <c r="K81" s="3" t="s">
        <v>811</v>
      </c>
      <c r="L81" s="3" t="s">
        <v>812</v>
      </c>
    </row>
    <row r="82" customFormat="false" ht="68.25" hidden="false" customHeight="true" outlineLevel="0" collapsed="false">
      <c r="A82" s="3" t="s">
        <v>813</v>
      </c>
      <c r="B82" s="3" t="s">
        <v>305</v>
      </c>
      <c r="C82" s="3" t="s">
        <v>814</v>
      </c>
      <c r="D82" s="3" t="s">
        <v>815</v>
      </c>
      <c r="E82" s="3" t="s">
        <v>816</v>
      </c>
      <c r="F82" s="3" t="s">
        <v>817</v>
      </c>
      <c r="G82" s="5" t="s">
        <v>30</v>
      </c>
      <c r="H82" s="4" t="s">
        <v>310</v>
      </c>
      <c r="I82" s="3" t="s">
        <v>31</v>
      </c>
      <c r="J82" s="3"/>
      <c r="K82" s="3" t="s">
        <v>811</v>
      </c>
      <c r="L82" s="3" t="s">
        <v>818</v>
      </c>
    </row>
    <row r="83" customFormat="false" ht="45.75" hidden="false" customHeight="true" outlineLevel="0" collapsed="false">
      <c r="A83" s="3" t="s">
        <v>819</v>
      </c>
      <c r="B83" s="3" t="s">
        <v>820</v>
      </c>
      <c r="C83" s="3" t="s">
        <v>821</v>
      </c>
      <c r="D83" s="3" t="s">
        <v>822</v>
      </c>
      <c r="E83" s="3" t="s">
        <v>823</v>
      </c>
      <c r="F83" s="3" t="s">
        <v>824</v>
      </c>
      <c r="G83" s="6" t="s">
        <v>41</v>
      </c>
      <c r="H83" s="4" t="s">
        <v>310</v>
      </c>
      <c r="I83" s="3" t="s">
        <v>31</v>
      </c>
      <c r="J83" s="3"/>
      <c r="K83" s="3" t="s">
        <v>811</v>
      </c>
      <c r="L83" s="3" t="s">
        <v>825</v>
      </c>
    </row>
    <row r="84" customFormat="false" ht="57" hidden="false" customHeight="true" outlineLevel="0" collapsed="false">
      <c r="A84" s="3" t="s">
        <v>826</v>
      </c>
      <c r="B84" s="3" t="s">
        <v>827</v>
      </c>
      <c r="C84" s="3" t="s">
        <v>828</v>
      </c>
      <c r="D84" s="3" t="s">
        <v>829</v>
      </c>
      <c r="E84" s="3" t="s">
        <v>830</v>
      </c>
      <c r="F84" s="3" t="s">
        <v>831</v>
      </c>
      <c r="G84" s="6" t="s">
        <v>41</v>
      </c>
      <c r="H84" s="4" t="s">
        <v>310</v>
      </c>
      <c r="I84" s="3" t="s">
        <v>31</v>
      </c>
      <c r="J84" s="3"/>
      <c r="K84" s="3" t="s">
        <v>811</v>
      </c>
      <c r="L84" s="3" t="s">
        <v>832</v>
      </c>
    </row>
    <row r="85" customFormat="false" ht="90.75" hidden="false" customHeight="true" outlineLevel="0" collapsed="false">
      <c r="A85" s="3" t="s">
        <v>833</v>
      </c>
      <c r="B85" s="3" t="s">
        <v>834</v>
      </c>
      <c r="C85" s="3" t="s">
        <v>835</v>
      </c>
      <c r="D85" s="3" t="s">
        <v>836</v>
      </c>
      <c r="E85" s="3" t="s">
        <v>837</v>
      </c>
      <c r="F85" s="3" t="s">
        <v>838</v>
      </c>
      <c r="G85" s="6" t="s">
        <v>41</v>
      </c>
      <c r="H85" s="4" t="s">
        <v>310</v>
      </c>
      <c r="I85" s="3" t="s">
        <v>31</v>
      </c>
      <c r="J85" s="3"/>
      <c r="K85" s="3" t="s">
        <v>811</v>
      </c>
      <c r="L85" s="3" t="s">
        <v>839</v>
      </c>
    </row>
    <row r="86" customFormat="false" ht="45.75" hidden="false" customHeight="true" outlineLevel="0" collapsed="false">
      <c r="A86" s="3" t="s">
        <v>840</v>
      </c>
      <c r="B86" s="3" t="s">
        <v>841</v>
      </c>
      <c r="C86" s="3" t="s">
        <v>842</v>
      </c>
      <c r="D86" s="3" t="s">
        <v>843</v>
      </c>
      <c r="E86" s="3" t="s">
        <v>844</v>
      </c>
      <c r="F86" s="3" t="s">
        <v>845</v>
      </c>
      <c r="G86" s="8" t="s">
        <v>90</v>
      </c>
      <c r="H86" s="4" t="s">
        <v>310</v>
      </c>
      <c r="I86" s="3" t="s">
        <v>31</v>
      </c>
      <c r="J86" s="3"/>
      <c r="K86" s="3" t="s">
        <v>811</v>
      </c>
      <c r="L86" s="3" t="s">
        <v>846</v>
      </c>
    </row>
    <row r="87" customFormat="false" ht="34.5" hidden="false" customHeight="true" outlineLevel="0" collapsed="false">
      <c r="A87" s="3" t="s">
        <v>847</v>
      </c>
      <c r="B87" s="3" t="s">
        <v>841</v>
      </c>
      <c r="C87" s="3" t="s">
        <v>848</v>
      </c>
      <c r="D87" s="3" t="s">
        <v>849</v>
      </c>
      <c r="E87" s="3" t="s">
        <v>850</v>
      </c>
      <c r="F87" s="3" t="s">
        <v>851</v>
      </c>
      <c r="G87" s="7" t="s">
        <v>47</v>
      </c>
      <c r="H87" s="4" t="s">
        <v>310</v>
      </c>
      <c r="I87" s="3" t="s">
        <v>31</v>
      </c>
      <c r="J87" s="3"/>
      <c r="K87" s="3" t="s">
        <v>811</v>
      </c>
      <c r="L87" s="3" t="s">
        <v>852</v>
      </c>
    </row>
    <row r="88" customFormat="false" ht="34.5" hidden="false" customHeight="true" outlineLevel="0" collapsed="false">
      <c r="A88" s="3" t="s">
        <v>853</v>
      </c>
      <c r="B88" s="3" t="s">
        <v>854</v>
      </c>
      <c r="C88" s="3" t="s">
        <v>855</v>
      </c>
      <c r="D88" s="3" t="s">
        <v>856</v>
      </c>
      <c r="E88" s="3" t="s">
        <v>857</v>
      </c>
      <c r="F88" s="3" t="s">
        <v>858</v>
      </c>
      <c r="G88" s="8" t="s">
        <v>90</v>
      </c>
      <c r="H88" s="4" t="s">
        <v>310</v>
      </c>
      <c r="I88" s="3" t="s">
        <v>31</v>
      </c>
      <c r="J88" s="3"/>
      <c r="K88" s="3" t="s">
        <v>811</v>
      </c>
      <c r="L88" s="3" t="s">
        <v>859</v>
      </c>
    </row>
    <row r="89" customFormat="false" ht="34.5" hidden="false" customHeight="true" outlineLevel="0" collapsed="false">
      <c r="A89" s="3" t="s">
        <v>860</v>
      </c>
      <c r="B89" s="3" t="s">
        <v>861</v>
      </c>
      <c r="C89" s="3" t="s">
        <v>862</v>
      </c>
      <c r="D89" s="3" t="s">
        <v>863</v>
      </c>
      <c r="E89" s="3" t="s">
        <v>864</v>
      </c>
      <c r="F89" s="3" t="s">
        <v>865</v>
      </c>
      <c r="G89" s="8" t="s">
        <v>90</v>
      </c>
      <c r="H89" s="4" t="s">
        <v>310</v>
      </c>
      <c r="I89" s="3" t="s">
        <v>31</v>
      </c>
      <c r="J89" s="3"/>
      <c r="K89" s="3" t="s">
        <v>811</v>
      </c>
      <c r="L89" s="3" t="s">
        <v>866</v>
      </c>
    </row>
    <row r="90" customFormat="false" ht="45.75" hidden="false" customHeight="true" outlineLevel="0" collapsed="false">
      <c r="A90" s="3" t="s">
        <v>867</v>
      </c>
      <c r="B90" s="3" t="s">
        <v>337</v>
      </c>
      <c r="C90" s="3" t="s">
        <v>868</v>
      </c>
      <c r="D90" s="3" t="s">
        <v>869</v>
      </c>
      <c r="E90" s="3" t="s">
        <v>870</v>
      </c>
      <c r="F90" s="3" t="s">
        <v>871</v>
      </c>
      <c r="G90" s="6" t="s">
        <v>41</v>
      </c>
      <c r="H90" s="4" t="s">
        <v>310</v>
      </c>
      <c r="I90" s="3" t="s">
        <v>31</v>
      </c>
      <c r="J90" s="3"/>
      <c r="K90" s="3" t="s">
        <v>811</v>
      </c>
      <c r="L90" s="3" t="s">
        <v>872</v>
      </c>
    </row>
    <row r="91" customFormat="false" ht="34.5" hidden="false" customHeight="true" outlineLevel="0" collapsed="false">
      <c r="A91" s="3" t="s">
        <v>873</v>
      </c>
      <c r="B91" s="3" t="s">
        <v>305</v>
      </c>
      <c r="C91" s="3" t="s">
        <v>874</v>
      </c>
      <c r="D91" s="3" t="s">
        <v>875</v>
      </c>
      <c r="E91" s="3" t="s">
        <v>876</v>
      </c>
      <c r="F91" s="3" t="s">
        <v>877</v>
      </c>
      <c r="G91" s="8" t="s">
        <v>90</v>
      </c>
      <c r="H91" s="4" t="s">
        <v>310</v>
      </c>
      <c r="I91" s="3" t="s">
        <v>31</v>
      </c>
      <c r="J91" s="3"/>
      <c r="K91" s="3" t="s">
        <v>811</v>
      </c>
      <c r="L91" s="3" t="s">
        <v>878</v>
      </c>
    </row>
    <row r="92" customFormat="false" ht="34.5" hidden="false" customHeight="true" outlineLevel="0" collapsed="false">
      <c r="A92" s="3" t="s">
        <v>879</v>
      </c>
      <c r="B92" s="3" t="s">
        <v>880</v>
      </c>
      <c r="C92" s="3" t="s">
        <v>881</v>
      </c>
      <c r="D92" s="3" t="s">
        <v>882</v>
      </c>
      <c r="E92" s="3" t="s">
        <v>883</v>
      </c>
      <c r="F92" s="3" t="s">
        <v>884</v>
      </c>
      <c r="G92" s="8" t="s">
        <v>90</v>
      </c>
      <c r="H92" s="4" t="s">
        <v>310</v>
      </c>
      <c r="I92" s="3" t="s">
        <v>31</v>
      </c>
      <c r="J92" s="3"/>
      <c r="K92" s="3" t="s">
        <v>811</v>
      </c>
      <c r="L92" s="3" t="s">
        <v>885</v>
      </c>
    </row>
    <row r="93" customFormat="false" ht="34.5" hidden="false" customHeight="true" outlineLevel="0" collapsed="false">
      <c r="A93" s="3" t="s">
        <v>886</v>
      </c>
      <c r="B93" s="3" t="s">
        <v>208</v>
      </c>
      <c r="C93" s="3" t="s">
        <v>887</v>
      </c>
      <c r="D93" s="3" t="s">
        <v>888</v>
      </c>
      <c r="E93" s="3" t="s">
        <v>889</v>
      </c>
      <c r="F93" s="3" t="s">
        <v>890</v>
      </c>
      <c r="G93" s="6" t="s">
        <v>41</v>
      </c>
      <c r="H93" s="4" t="s">
        <v>310</v>
      </c>
      <c r="I93" s="3" t="s">
        <v>31</v>
      </c>
      <c r="J93" s="3"/>
      <c r="K93" s="3" t="s">
        <v>811</v>
      </c>
      <c r="L93" s="3" t="s">
        <v>891</v>
      </c>
    </row>
    <row r="94" customFormat="false" ht="23.25" hidden="false" customHeight="true" outlineLevel="0" collapsed="false">
      <c r="A94" s="3" t="s">
        <v>892</v>
      </c>
      <c r="B94" s="3" t="s">
        <v>893</v>
      </c>
      <c r="C94" s="3" t="s">
        <v>894</v>
      </c>
      <c r="D94" s="3" t="s">
        <v>895</v>
      </c>
      <c r="E94" s="3" t="s">
        <v>896</v>
      </c>
      <c r="F94" s="3" t="s">
        <v>897</v>
      </c>
      <c r="G94" s="8" t="s">
        <v>90</v>
      </c>
      <c r="H94" s="4" t="s">
        <v>310</v>
      </c>
      <c r="I94" s="3" t="s">
        <v>31</v>
      </c>
      <c r="J94" s="3"/>
      <c r="K94" s="3" t="s">
        <v>811</v>
      </c>
      <c r="L94" s="3" t="s">
        <v>898</v>
      </c>
    </row>
  </sheetData>
  <autoFilter ref="A1:L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28"/>
    <col collapsed="false" customWidth="true" hidden="false" outlineLevel="0" max="6" min="6" style="1" width="26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899</v>
      </c>
      <c r="B1" s="2" t="s">
        <v>900</v>
      </c>
      <c r="C1" s="2" t="s">
        <v>901</v>
      </c>
      <c r="D1" s="2" t="s">
        <v>902</v>
      </c>
      <c r="E1" s="2" t="s">
        <v>903</v>
      </c>
      <c r="F1" s="2" t="s">
        <v>904</v>
      </c>
      <c r="G1" s="2" t="s">
        <v>905</v>
      </c>
    </row>
    <row r="2" customFormat="false" ht="34.5" hidden="false" customHeight="true" outlineLevel="0" collapsed="false">
      <c r="A2" s="3" t="s">
        <v>906</v>
      </c>
      <c r="B2" s="3" t="s">
        <v>907</v>
      </c>
      <c r="C2" s="3" t="s">
        <v>908</v>
      </c>
      <c r="D2" s="3" t="s">
        <v>909</v>
      </c>
      <c r="E2" s="3" t="s">
        <v>910</v>
      </c>
      <c r="F2" s="3" t="s">
        <v>911</v>
      </c>
      <c r="G2" s="3" t="s">
        <v>912</v>
      </c>
    </row>
    <row r="3" customFormat="false" ht="15" hidden="false" customHeight="true" outlineLevel="0" collapsed="false">
      <c r="A3" s="3" t="s">
        <v>913</v>
      </c>
      <c r="B3" s="3" t="s">
        <v>914</v>
      </c>
      <c r="C3" s="3" t="s">
        <v>45</v>
      </c>
      <c r="D3" s="3" t="s">
        <v>45</v>
      </c>
      <c r="E3" s="3" t="s">
        <v>45</v>
      </c>
      <c r="F3" s="3" t="s">
        <v>45</v>
      </c>
      <c r="G3" s="3" t="s">
        <v>915</v>
      </c>
    </row>
    <row r="4" customFormat="false" ht="34.5" hidden="false" customHeight="true" outlineLevel="0" collapsed="false">
      <c r="A4" s="3" t="s">
        <v>916</v>
      </c>
      <c r="B4" s="3" t="s">
        <v>917</v>
      </c>
      <c r="C4" s="3" t="s">
        <v>918</v>
      </c>
      <c r="D4" s="3" t="s">
        <v>919</v>
      </c>
      <c r="E4" s="3" t="s">
        <v>920</v>
      </c>
      <c r="F4" s="3" t="s">
        <v>921</v>
      </c>
      <c r="G4" s="3" t="s">
        <v>922</v>
      </c>
    </row>
    <row r="5" customFormat="false" ht="15" hidden="false" customHeight="true" outlineLevel="0" collapsed="false">
      <c r="A5" s="3" t="s">
        <v>923</v>
      </c>
      <c r="B5" s="3" t="s">
        <v>914</v>
      </c>
      <c r="C5" s="3" t="s">
        <v>45</v>
      </c>
      <c r="D5" s="3" t="s">
        <v>45</v>
      </c>
      <c r="E5" s="3" t="s">
        <v>45</v>
      </c>
      <c r="F5" s="3" t="s">
        <v>45</v>
      </c>
      <c r="G5" s="3" t="s">
        <v>915</v>
      </c>
    </row>
    <row r="6" customFormat="false" ht="45.75" hidden="false" customHeight="true" outlineLevel="0" collapsed="false">
      <c r="A6" s="3" t="s">
        <v>924</v>
      </c>
      <c r="B6" s="3" t="s">
        <v>925</v>
      </c>
      <c r="C6" s="3" t="s">
        <v>926</v>
      </c>
      <c r="D6" s="3" t="s">
        <v>927</v>
      </c>
      <c r="E6" s="3" t="s">
        <v>928</v>
      </c>
      <c r="F6" s="3" t="s">
        <v>929</v>
      </c>
      <c r="G6" s="3" t="s">
        <v>930</v>
      </c>
    </row>
    <row r="7" customFormat="false" ht="34.5" hidden="false" customHeight="true" outlineLevel="0" collapsed="false">
      <c r="A7" s="3" t="s">
        <v>931</v>
      </c>
      <c r="B7" s="3" t="s">
        <v>932</v>
      </c>
      <c r="C7" s="3" t="s">
        <v>933</v>
      </c>
      <c r="D7" s="3" t="s">
        <v>934</v>
      </c>
      <c r="E7" s="3" t="s">
        <v>935</v>
      </c>
      <c r="F7" s="3" t="s">
        <v>936</v>
      </c>
      <c r="G7" s="3" t="s">
        <v>937</v>
      </c>
    </row>
    <row r="8" customFormat="false" ht="15" hidden="false" customHeight="true" outlineLevel="0" collapsed="false">
      <c r="A8" s="3" t="s">
        <v>938</v>
      </c>
      <c r="B8" s="3" t="s">
        <v>939</v>
      </c>
      <c r="C8" s="3" t="s">
        <v>940</v>
      </c>
      <c r="D8" s="3" t="s">
        <v>941</v>
      </c>
      <c r="E8" s="3" t="s">
        <v>942</v>
      </c>
      <c r="F8" s="3" t="s">
        <v>943</v>
      </c>
      <c r="G8" s="3" t="s">
        <v>944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</row>
    <row r="11" customFormat="false" ht="135.8" hidden="false" customHeight="false" outlineLevel="0" collapsed="false">
      <c r="A11" s="3" t="s">
        <v>945</v>
      </c>
      <c r="B11" s="3" t="s">
        <v>946</v>
      </c>
      <c r="C11" s="3" t="s">
        <v>947</v>
      </c>
      <c r="D11" s="3" t="s">
        <v>948</v>
      </c>
      <c r="E11" s="3" t="s">
        <v>949</v>
      </c>
      <c r="F11" s="3" t="s">
        <v>950</v>
      </c>
      <c r="G11" s="3" t="s">
        <v>951</v>
      </c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  <col collapsed="false" customWidth="true" hidden="false" outlineLevel="0" max="4" min="4" style="1" width="26"/>
    <col collapsed="false" customWidth="true" hidden="false" outlineLevel="0" max="5" min="5" style="1" width="12"/>
  </cols>
  <sheetData>
    <row r="1" customFormat="false" ht="15.75" hidden="false" customHeight="true" outlineLevel="0" collapsed="false">
      <c r="A1" s="11" t="s">
        <v>952</v>
      </c>
    </row>
    <row r="3" customFormat="false" ht="15" hidden="false" customHeight="true" outlineLevel="0" collapsed="false">
      <c r="A3" s="12" t="s">
        <v>953</v>
      </c>
      <c r="B3" s="13" t="s">
        <v>954</v>
      </c>
    </row>
    <row r="5" customFormat="false" ht="15" hidden="false" customHeight="true" outlineLevel="0" collapsed="false">
      <c r="A5" s="12" t="s">
        <v>955</v>
      </c>
      <c r="D5" s="12" t="s">
        <v>956</v>
      </c>
    </row>
    <row r="6" customFormat="false" ht="15" hidden="false" customHeight="true" outlineLevel="0" collapsed="false">
      <c r="A6" s="14" t="s">
        <v>12</v>
      </c>
      <c r="B6" s="14" t="s">
        <v>957</v>
      </c>
      <c r="D6" s="14" t="s">
        <v>300</v>
      </c>
      <c r="E6" s="14" t="s">
        <v>957</v>
      </c>
    </row>
    <row r="7" customFormat="false" ht="15" hidden="false" customHeight="true" outlineLevel="0" collapsed="false">
      <c r="A7" s="15" t="s">
        <v>30</v>
      </c>
      <c r="B7" s="16" t="n">
        <f aca="false">COUNTIF('Issues Log'!G:G,A7)</f>
        <v>22</v>
      </c>
      <c r="D7" s="17" t="s">
        <v>310</v>
      </c>
      <c r="E7" s="16" t="n">
        <f aca="false">COUNTIF('Issues Log'!H:H,D7)</f>
        <v>84</v>
      </c>
    </row>
    <row r="8" customFormat="false" ht="15" hidden="false" customHeight="true" outlineLevel="0" collapsed="false">
      <c r="A8" s="18" t="s">
        <v>41</v>
      </c>
      <c r="B8" s="16" t="n">
        <f aca="false">COUNTIF('Issues Log'!G:G,A8)</f>
        <v>46</v>
      </c>
      <c r="D8" s="19" t="s">
        <v>402</v>
      </c>
      <c r="E8" s="16" t="n">
        <f aca="false">COUNTIF('Issues Log'!H:H,D8)</f>
        <v>8</v>
      </c>
    </row>
    <row r="9" customFormat="false" ht="15" hidden="false" customHeight="true" outlineLevel="0" collapsed="false">
      <c r="A9" s="20" t="s">
        <v>90</v>
      </c>
      <c r="B9" s="16" t="n">
        <f aca="false">COUNTIF('Issues Log'!G:G,A9)</f>
        <v>20</v>
      </c>
      <c r="D9" s="15" t="s">
        <v>444</v>
      </c>
      <c r="E9" s="16" t="n">
        <f aca="false">COUNTIF('Issues Log'!H:H,D9)</f>
        <v>1</v>
      </c>
    </row>
    <row r="10" customFormat="false" ht="15" hidden="false" customHeight="true" outlineLevel="0" collapsed="false">
      <c r="A10" s="21" t="s">
        <v>47</v>
      </c>
      <c r="B10" s="16" t="n">
        <f aca="false">COUNTIF('Issues Log'!G:G,A10)</f>
        <v>5</v>
      </c>
      <c r="D10" s="22" t="s">
        <v>958</v>
      </c>
      <c r="E10" s="22" t="n">
        <f aca="false">SUM(E7:E9)</f>
        <v>93</v>
      </c>
    </row>
    <row r="11" customFormat="false" ht="15" hidden="false" customHeight="true" outlineLevel="0" collapsed="false">
      <c r="A11" s="22" t="s">
        <v>959</v>
      </c>
      <c r="B11" s="22" t="n">
        <f aca="false">SUM(B7:B10)</f>
        <v>93</v>
      </c>
    </row>
    <row r="13" customFormat="false" ht="15" hidden="false" customHeight="true" outlineLevel="0" collapsed="false">
      <c r="A13" s="12" t="s">
        <v>960</v>
      </c>
    </row>
    <row r="14" customFormat="false" ht="15" hidden="false" customHeight="true" outlineLevel="0" collapsed="false">
      <c r="A14" s="14" t="s">
        <v>10</v>
      </c>
      <c r="B14" s="14" t="s">
        <v>961</v>
      </c>
    </row>
    <row r="15" customFormat="false" ht="15" hidden="false" customHeight="true" outlineLevel="0" collapsed="false">
      <c r="A15" s="16" t="s">
        <v>962</v>
      </c>
      <c r="B15" s="16" t="n">
        <f aca="false">COUNTIF(RTM!K:K,A15)</f>
        <v>0</v>
      </c>
    </row>
    <row r="16" customFormat="false" ht="15" hidden="false" customHeight="true" outlineLevel="0" collapsed="false">
      <c r="A16" s="16" t="s">
        <v>963</v>
      </c>
      <c r="B16" s="16" t="n">
        <f aca="false">COUNTIF(RTM!K:K,A16)</f>
        <v>0</v>
      </c>
    </row>
    <row r="17" customFormat="false" ht="15" hidden="false" customHeight="true" outlineLevel="0" collapsed="false">
      <c r="A17" s="16" t="s">
        <v>28</v>
      </c>
      <c r="B17" s="16" t="n">
        <f aca="false">COUNTIF(RTM!K:K,A17)</f>
        <v>50</v>
      </c>
    </row>
    <row r="18" customFormat="false" ht="15" hidden="false" customHeight="true" outlineLevel="0" collapsed="false">
      <c r="A18" s="22" t="s">
        <v>964</v>
      </c>
      <c r="B18" s="22" t="n">
        <f aca="false">SUM(B15:B17)</f>
        <v>50</v>
      </c>
    </row>
    <row r="20" customFormat="false" ht="15" hidden="false" customHeight="true" outlineLevel="0" collapsed="false">
      <c r="A20" s="12" t="s">
        <v>965</v>
      </c>
    </row>
    <row r="21" customFormat="false" ht="15" hidden="false" customHeight="true" outlineLevel="0" collapsed="false">
      <c r="A21" s="14" t="s">
        <v>966</v>
      </c>
      <c r="B21" s="14" t="s">
        <v>957</v>
      </c>
    </row>
    <row r="22" customFormat="false" ht="15" hidden="false" customHeight="true" outlineLevel="0" collapsed="false">
      <c r="A22" s="16" t="s">
        <v>967</v>
      </c>
      <c r="B22" s="16" t="n">
        <f aca="false">COUNTIF(RTM!H:H,A22)</f>
        <v>0</v>
      </c>
    </row>
    <row r="23" customFormat="false" ht="15" hidden="false" customHeight="true" outlineLevel="0" collapsed="false">
      <c r="A23" s="16" t="s">
        <v>968</v>
      </c>
      <c r="B23" s="16" t="n">
        <f aca="false">COUNTIF(RTM!H:H,A23)</f>
        <v>0</v>
      </c>
    </row>
    <row r="24" customFormat="false" ht="15" hidden="false" customHeight="true" outlineLevel="0" collapsed="false">
      <c r="A24" s="16" t="s">
        <v>969</v>
      </c>
      <c r="B24" s="16" t="n">
        <f aca="false">COUNTIF(RTM!H:H,A24)</f>
        <v>0</v>
      </c>
    </row>
    <row r="26" customFormat="false" ht="15" hidden="false" customHeight="true" outlineLevel="0" collapsed="false">
      <c r="A26" s="23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2026-07-09T06:13:37Z</dcterms:created>
  <dc:creator>openpyxl</dc:creator>
  <dc:description/>
  <dc:language>en-US</dc:language>
  <cp:lastModifiedBy/>
  <dcterms:modified xsi:type="dcterms:W3CDTF">2026-07-10T01:33:18Z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